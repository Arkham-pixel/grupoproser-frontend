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 codeName="{26A90621-87C4-6C01-FD6A-EE6E7C140903}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f8aa9693357cfa/Documentos/LIQUIDADOR Z/"/>
    </mc:Choice>
  </mc:AlternateContent>
  <xr:revisionPtr revIDLastSave="11" documentId="8_{1808E7A3-59EC-4208-BC09-2457E0D181BC}" xr6:coauthVersionLast="47" xr6:coauthVersionMax="47" xr10:uidLastSave="{642EB4D0-E6E1-477A-B4E9-D27F427641C0}"/>
  <bookViews>
    <workbookView xWindow="-120" yWindow="-120" windowWidth="29040" windowHeight="15720" xr2:uid="{ED971929-63BF-4A48-9C62-FC618A1EE515}"/>
  </bookViews>
  <sheets>
    <sheet name="FORMATO_LIQUIDACION" sheetId="1" r:id="rId1"/>
    <sheet name="FORMATO-CHECK-LIST" sheetId="5" r:id="rId2"/>
    <sheet name="SALVAMENTO" sheetId="6" r:id="rId3"/>
  </sheets>
  <functionGroups builtInGroupCount="19"/>
  <definedNames>
    <definedName name="_xleta.MAX" hidden="1" xlm="1">#NAME?</definedName>
    <definedName name="_xleta.YEAR" hidden="1" xlm="1">#NAME?</definedName>
    <definedName name="_xlnm.Print_Area" localSheetId="1">'FORMATO-CHECK-LIST'!$A$1:$G$70</definedName>
    <definedName name="Parcial" localSheetId="1">'FORMATO-CHECK-LIST'!$D$19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8" i="1" l="1"/>
  <c r="D27" i="1"/>
  <c r="C57" i="5"/>
  <c r="D14" i="5"/>
  <c r="D17" i="5" s="1"/>
  <c r="D13" i="5"/>
  <c r="H12" i="6"/>
  <c r="H8" i="6"/>
  <c r="H6" i="6"/>
  <c r="J17" i="6"/>
  <c r="T44" i="6"/>
  <c r="D16" i="5"/>
  <c r="D11" i="5"/>
  <c r="D10" i="5"/>
  <c r="D9" i="5"/>
  <c r="E46" i="5"/>
  <c r="E48" i="5" s="1"/>
  <c r="E27" i="5"/>
  <c r="E26" i="5"/>
  <c r="E25" i="5"/>
  <c r="B27" i="1" l="1"/>
  <c r="H26" i="1"/>
  <c r="H27" i="1" l="1"/>
  <c r="D57" i="5"/>
  <c r="E57" i="5" l="1"/>
  <c r="E60" i="5" s="1"/>
  <c r="D6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Poloche</author>
  </authors>
  <commentList>
    <comment ref="F55" authorId="0" shapeId="0" xr:uid="{9303C29B-1F4F-4F17-B58B-2770B24805E7}">
      <text>
        <r>
          <rPr>
            <b/>
            <sz val="9"/>
            <color indexed="81"/>
            <rFont val="Tahoma"/>
            <family val="2"/>
          </rPr>
          <t>Registrar la causa del ajuste</t>
        </r>
      </text>
    </comment>
  </commentList>
</comments>
</file>

<file path=xl/sharedStrings.xml><?xml version="1.0" encoding="utf-8"?>
<sst xmlns="http://schemas.openxmlformats.org/spreadsheetml/2006/main" count="136" uniqueCount="109">
  <si>
    <t>LIQUIDACION FINAL</t>
  </si>
  <si>
    <t>Reclamo</t>
  </si>
  <si>
    <t>Asegurado</t>
  </si>
  <si>
    <t>NIT / CC</t>
  </si>
  <si>
    <t>Poliza No</t>
  </si>
  <si>
    <t>Fecha de Siniestro</t>
  </si>
  <si>
    <t>Cobertura</t>
  </si>
  <si>
    <t>Deducible</t>
  </si>
  <si>
    <t xml:space="preserve"> 0% del Valor de la Pérdida Mínimo 0 SMMLV</t>
  </si>
  <si>
    <t>CONCEPTO</t>
  </si>
  <si>
    <t>DETALLE</t>
  </si>
  <si>
    <t>VALOR</t>
  </si>
  <si>
    <t xml:space="preserve">Cualquier cosa </t>
  </si>
  <si>
    <t>TOTAL PERDIDA</t>
  </si>
  <si>
    <t>DEDUCIBLE</t>
  </si>
  <si>
    <t>TOTAL INDEMNIZACION</t>
  </si>
  <si>
    <t>MONEDA</t>
  </si>
  <si>
    <t>COP</t>
  </si>
  <si>
    <t>TRM</t>
  </si>
  <si>
    <t>ELABORADO POR:</t>
  </si>
  <si>
    <t xml:space="preserve">FORMATO ÚNICO ATENCIÓN DE RECLAMOS EXPRESS
PROPERTY </t>
  </si>
  <si>
    <t>INFORMACIÓN GENERAL DEL RECLAMO</t>
  </si>
  <si>
    <t>Fecha:</t>
  </si>
  <si>
    <t>ZC:</t>
  </si>
  <si>
    <t>STRO:</t>
  </si>
  <si>
    <t>Tipo de producto:</t>
  </si>
  <si>
    <t>TRDM</t>
  </si>
  <si>
    <t>Número de póliza:</t>
  </si>
  <si>
    <t>Asegurado:</t>
  </si>
  <si>
    <t>Vigencia de la poliza:</t>
  </si>
  <si>
    <t>al</t>
  </si>
  <si>
    <t>D.O.L:</t>
  </si>
  <si>
    <t>Riesgo asegurado:</t>
  </si>
  <si>
    <t>Cobertura afectada:</t>
  </si>
  <si>
    <t>Garantias:</t>
  </si>
  <si>
    <t>No Aplica</t>
  </si>
  <si>
    <t>Exclusiones:</t>
  </si>
  <si>
    <t>Objeción:</t>
  </si>
  <si>
    <t>Tipo de pérdida:</t>
  </si>
  <si>
    <t xml:space="preserve">Parcial </t>
  </si>
  <si>
    <t>Aplica demérito:</t>
  </si>
  <si>
    <t>Limite o valor asegurado:</t>
  </si>
  <si>
    <t>Pérdida ajustada:</t>
  </si>
  <si>
    <t>Deducible:</t>
  </si>
  <si>
    <t>Valor a indemnizar:</t>
  </si>
  <si>
    <t>Salvamento:</t>
  </si>
  <si>
    <t>Recobro:</t>
  </si>
  <si>
    <t>Indicadores de fraude:</t>
  </si>
  <si>
    <t>Breve descripción del evento:</t>
  </si>
  <si>
    <t>Ajustador - Gabriel Moremo</t>
  </si>
  <si>
    <t>DOCUMENTOS DE SOPORTE</t>
  </si>
  <si>
    <t xml:space="preserve">Comunicaciòn del asegurado donde indique las circunstancias de tiempo, modo y lugar en que ocurrieron los hechos </t>
  </si>
  <si>
    <t xml:space="preserve">Informe técnico de firma especializada acerca del alcance de los daños y causa de los mismos indicando la posibilidad de reparación </t>
  </si>
  <si>
    <r>
      <rPr>
        <b/>
        <sz val="14"/>
        <color theme="1"/>
        <rFont val="Aptos Narrow"/>
        <family val="2"/>
        <scheme val="minor"/>
      </rPr>
      <t>Factura de adquisicion</t>
    </r>
    <r>
      <rPr>
        <sz val="14"/>
        <color theme="1"/>
        <rFont val="Aptos Narrow"/>
        <family val="2"/>
        <scheme val="minor"/>
      </rPr>
      <t xml:space="preserve">  y/o Certificación emitida por el Contador o Revisor fiscal del generador, indicando (fecha de adquisicion, valor hurtado, valor costo de las mercancías, valor del bien afectado)</t>
    </r>
  </si>
  <si>
    <r>
      <t xml:space="preserve">Cotizacion y/o </t>
    </r>
    <r>
      <rPr>
        <b/>
        <sz val="14"/>
        <color rgb="FF000000"/>
        <rFont val="Aptos Narrow"/>
        <family val="2"/>
        <scheme val="minor"/>
      </rPr>
      <t xml:space="preserve">Factura de reparación o reposición </t>
    </r>
    <r>
      <rPr>
        <sz val="14"/>
        <color rgb="FF000000"/>
        <rFont val="Aptos Narrow"/>
        <family val="2"/>
        <scheme val="minor"/>
      </rPr>
      <t>del bien afectado por uno de iguales o similares características (discriminando mano de obra y materiales)</t>
    </r>
  </si>
  <si>
    <t>Registro fotográfico o fílmico de los bienes afectados</t>
  </si>
  <si>
    <t>Denuncia Penal instaurada ante autoridad competente</t>
  </si>
  <si>
    <t>Hoja de vida de la máquina que incluya la tres ultimas bitácoras de mantenimiento de la máquina previo al siniestro</t>
  </si>
  <si>
    <t>Porcentaje de tareas finalizadas</t>
  </si>
  <si>
    <t>¿el reclamo está formalizado?</t>
  </si>
  <si>
    <t>Fecha formalización:</t>
  </si>
  <si>
    <t>ANÁLISIS DE LA PÉRDIDA</t>
  </si>
  <si>
    <t>RECLAMADO</t>
  </si>
  <si>
    <t>AJUSTADO</t>
  </si>
  <si>
    <t>OBSERVACIÓN</t>
  </si>
  <si>
    <t>ITEM</t>
  </si>
  <si>
    <t>DESCRIPCIÓN</t>
  </si>
  <si>
    <t xml:space="preserve"> V/R TOTAL </t>
  </si>
  <si>
    <t>Se ajusta el valor a precios del mercado -  Cotizacion enviada por el asegurado</t>
  </si>
  <si>
    <t>Totales</t>
  </si>
  <si>
    <t>COMENTARIOS ADICIONALES</t>
  </si>
  <si>
    <t>Para este caso no aplica</t>
  </si>
  <si>
    <t>Ajustador - Gabriel Moreno</t>
  </si>
  <si>
    <t>ZC</t>
  </si>
  <si>
    <t>Aplica</t>
  </si>
  <si>
    <t xml:space="preserve">Total </t>
  </si>
  <si>
    <t>No aplica</t>
  </si>
  <si>
    <t>Formato Salvamentos</t>
  </si>
  <si>
    <t>Poliza</t>
  </si>
  <si>
    <t>Sub-tarea</t>
  </si>
  <si>
    <t>SALVAMENTO</t>
  </si>
  <si>
    <t>Informacion de Salvamento</t>
  </si>
  <si>
    <t>COMENTARIOS</t>
  </si>
  <si>
    <t>Descripcion Salvamento</t>
  </si>
  <si>
    <t>Cantidad (unidades)</t>
  </si>
  <si>
    <t>Marca salvamento</t>
  </si>
  <si>
    <t>N/D</t>
  </si>
  <si>
    <t>Serial salvamento</t>
  </si>
  <si>
    <t>Especificacion del daño y estado actual del salvamento</t>
  </si>
  <si>
    <t>Ubicación                     (Direccion y ciudad)</t>
  </si>
  <si>
    <t>Contacto persona quien entrega</t>
  </si>
  <si>
    <t>Salvamento nacionalizado</t>
  </si>
  <si>
    <t>SI</t>
  </si>
  <si>
    <t>NO</t>
  </si>
  <si>
    <t>Genera costos por custodia</t>
  </si>
  <si>
    <t>Valor</t>
  </si>
  <si>
    <t>Registro fotografico</t>
  </si>
  <si>
    <t>Indemnizado</t>
  </si>
  <si>
    <t>Se solicito oferta Non Cash</t>
  </si>
  <si>
    <t>Comentarios salvamento</t>
  </si>
  <si>
    <t>NOTAS:</t>
  </si>
  <si>
    <t>1. Todo salvamento debe contar registro fotográfico actualizado y debe estar cargado al respectivo ZC.</t>
  </si>
  <si>
    <t>2. En la descripción del salvamento y de aplicar debe quedar relacionada la marca y serial del equipo.</t>
  </si>
  <si>
    <t>3. En caso de que el salvamento corresponda a grado alimenticio o de consumo humano se debe notificar por correo para dar prioridad al mismo.</t>
  </si>
  <si>
    <t>4. En las especificaciones del daño se debe dejar estipulado a que correspondió el daño y si el salvamento presenta algún tipo de despiece realizado que hubiera podido afectar el estado del salvamento.</t>
  </si>
  <si>
    <t>5. En la casilla de comentarios se deben dejar observaciones adicionales, tales como posibles valores de venta, si es recomendable realizar disposición final del mismo, etc.</t>
  </si>
  <si>
    <t>MOTOR Y CO</t>
  </si>
  <si>
    <t>ksk4</t>
  </si>
  <si>
    <t>No se tiene en cuenta ya que el daño no es consecuencia del 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</si>
</sst>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\-###\-#######"/>
    <numFmt numFmtId="165" formatCode="[$-240A]d&quot; de &quot;mmmm&quot; de &quot;yyyy;@"/>
    <numFmt numFmtId="166" formatCode="[$$-2C0A]#,##0"/>
    <numFmt numFmtId="167" formatCode="_(* #,##0_);_(* \(#,##0\);_(* &quot;-&quot;??_);_(@_)"/>
    <numFmt numFmtId="168" formatCode="[$$-80A]#,##0_ ;\-[$$-80A]#,##0\ "/>
    <numFmt numFmtId="169" formatCode="&quot;$&quot;\ #,##0.00"/>
    <numFmt numFmtId="170" formatCode="_([$$-240A]\ * #,##0.00_);_([$$-240A]\ * \(#,##0.00\);_([$$-240A]\ * &quot;-&quot;??_);_(@_)"/>
    <numFmt numFmtId="171" formatCode="_(&quot;$&quot;\ * #,##0.00_);_(&quot;$&quot;\ * \(#,##0.00\);_(&quot;$&quot;\ * &quot;-&quot;??_);_(@_)"/>
    <numFmt numFmtId="172" formatCode="0.0%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u/>
      <sz val="11"/>
      <name val="Arial"/>
      <family val="2"/>
    </font>
    <font>
      <sz val="9"/>
      <color rgb="FF23366F"/>
      <name val="Arial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b/>
      <sz val="9"/>
      <color indexed="81"/>
      <name val="Tahoma"/>
      <family val="2"/>
    </font>
    <font>
      <sz val="14"/>
      <color rgb="FF00B0F0"/>
      <name val="Aptos Narrow"/>
      <family val="2"/>
      <scheme val="minor"/>
    </font>
    <font>
      <sz val="11"/>
      <color rgb="FF002060"/>
      <name val="Zurich Sans"/>
    </font>
    <font>
      <sz val="12"/>
      <color rgb="FF002060"/>
      <name val="Zurich Sans"/>
    </font>
    <font>
      <b/>
      <sz val="18"/>
      <color rgb="FF002060"/>
      <name val="Zurich Sans"/>
    </font>
    <font>
      <b/>
      <sz val="11"/>
      <color rgb="FF002060"/>
      <name val="Zurich Sans"/>
    </font>
    <font>
      <b/>
      <sz val="9"/>
      <color rgb="FF002060"/>
      <name val="Zurich Sans"/>
    </font>
    <font>
      <sz val="11"/>
      <color rgb="FF000000"/>
      <name val="Aptos Narrow"/>
      <family val="2"/>
    </font>
    <font>
      <sz val="11"/>
      <color rgb="FF000000"/>
      <name val="Zurich Sans"/>
    </font>
    <font>
      <b/>
      <sz val="18"/>
      <color rgb="FFFFFFFF"/>
      <name val="Zurich Sans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color rgb="FF000000"/>
      <name val="Calibri"/>
      <family val="2"/>
    </font>
    <font>
      <sz val="11"/>
      <color rgb="FF4F81BD"/>
      <name val="Calibri"/>
      <family val="2"/>
    </font>
    <font>
      <sz val="11"/>
      <color rgb="FF00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4472C4"/>
        <bgColor rgb="FF000000"/>
      </patternFill>
    </fill>
  </fills>
  <borders count="4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/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indexed="64"/>
      </bottom>
      <diagonal/>
    </border>
    <border>
      <left/>
      <right/>
      <top style="thin">
        <color rgb="FF0070C0"/>
      </top>
      <bottom style="thin">
        <color indexed="64"/>
      </bottom>
      <diagonal/>
    </border>
    <border>
      <left/>
      <right style="thin">
        <color rgb="FF0070C0"/>
      </right>
      <top style="thin">
        <color rgb="FF0070C0"/>
      </top>
      <bottom style="thin">
        <color indexed="64"/>
      </bottom>
      <diagonal/>
    </border>
    <border>
      <left style="thin">
        <color rgb="FF0070C0"/>
      </left>
      <right/>
      <top style="thin">
        <color rgb="FF0070C0"/>
      </top>
      <bottom style="thin">
        <color rgb="FF3072C2"/>
      </bottom>
      <diagonal/>
    </border>
    <border>
      <left/>
      <right/>
      <top style="thin">
        <color rgb="FF0070C0"/>
      </top>
      <bottom style="thin">
        <color rgb="FF3072C2"/>
      </bottom>
      <diagonal/>
    </border>
    <border>
      <left/>
      <right style="thin">
        <color rgb="FF0070C0"/>
      </right>
      <top style="thin">
        <color rgb="FF0070C0"/>
      </top>
      <bottom style="thin">
        <color rgb="FF3072C2"/>
      </bottom>
      <diagonal/>
    </border>
    <border>
      <left style="thin">
        <color rgb="FF31869B"/>
      </left>
      <right style="thin">
        <color rgb="FF31869B"/>
      </right>
      <top style="thin">
        <color rgb="FF31869B"/>
      </top>
      <bottom style="thin">
        <color rgb="FF31869B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4" borderId="0" applyNumberFormat="0" applyBorder="0" applyAlignment="0" applyProtection="0"/>
  </cellStyleXfs>
  <cellXfs count="242">
    <xf numFmtId="0" fontId="0" fillId="0" borderId="0" xfId="0"/>
    <xf numFmtId="0" fontId="3" fillId="2" borderId="1" xfId="0" applyFont="1" applyFill="1" applyBorder="1"/>
    <xf numFmtId="0" fontId="3" fillId="2" borderId="2" xfId="0" applyFont="1" applyFill="1" applyBorder="1"/>
    <xf numFmtId="0" fontId="4" fillId="2" borderId="3" xfId="0" applyFont="1" applyFill="1" applyBorder="1"/>
    <xf numFmtId="164" fontId="5" fillId="2" borderId="0" xfId="0" applyNumberFormat="1" applyFont="1" applyFill="1" applyAlignment="1" applyProtection="1">
      <alignment horizontal="right" vertical="center"/>
      <protection locked="0"/>
    </xf>
    <xf numFmtId="164" fontId="5" fillId="2" borderId="0" xfId="0" applyNumberFormat="1" applyFont="1" applyFill="1" applyAlignment="1">
      <alignment horizontal="right"/>
    </xf>
    <xf numFmtId="0" fontId="5" fillId="2" borderId="2" xfId="0" applyFont="1" applyFill="1" applyBorder="1"/>
    <xf numFmtId="0" fontId="4" fillId="2" borderId="0" xfId="0" applyFont="1" applyFill="1" applyAlignment="1" applyProtection="1">
      <alignment horizontal="right" vertical="center"/>
      <protection locked="0"/>
    </xf>
    <xf numFmtId="0" fontId="4" fillId="2" borderId="0" xfId="0" applyFont="1" applyFill="1" applyAlignment="1">
      <alignment horizontal="right"/>
    </xf>
    <xf numFmtId="3" fontId="5" fillId="2" borderId="0" xfId="0" applyNumberFormat="1" applyFont="1" applyFill="1" applyAlignment="1" applyProtection="1">
      <alignment horizontal="right" vertical="center"/>
      <protection locked="0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 applyProtection="1">
      <alignment horizontal="right" vertical="center"/>
      <protection locked="0"/>
    </xf>
    <xf numFmtId="165" fontId="5" fillId="2" borderId="0" xfId="0" applyNumberFormat="1" applyFont="1" applyFill="1" applyAlignment="1">
      <alignment horizontal="right"/>
    </xf>
    <xf numFmtId="165" fontId="5" fillId="2" borderId="0" xfId="0" applyNumberFormat="1" applyFont="1" applyFill="1" applyAlignment="1" applyProtection="1">
      <alignment horizontal="right" vertical="center"/>
      <protection locked="0"/>
    </xf>
    <xf numFmtId="166" fontId="5" fillId="2" borderId="2" xfId="0" applyNumberFormat="1" applyFont="1" applyFill="1" applyBorder="1"/>
    <xf numFmtId="0" fontId="5" fillId="2" borderId="0" xfId="0" applyFont="1" applyFill="1" applyAlignment="1" applyProtection="1">
      <alignment horizontal="right" vertical="center" wrapText="1"/>
      <protection locked="0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/>
    <xf numFmtId="0" fontId="5" fillId="2" borderId="6" xfId="0" applyFont="1" applyFill="1" applyBorder="1"/>
    <xf numFmtId="0" fontId="6" fillId="3" borderId="3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2" borderId="3" xfId="0" applyFont="1" applyFill="1" applyBorder="1" applyProtection="1">
      <protection locked="0"/>
    </xf>
    <xf numFmtId="167" fontId="5" fillId="2" borderId="1" xfId="1" applyNumberFormat="1" applyFont="1" applyFill="1" applyBorder="1" applyAlignment="1" applyProtection="1">
      <alignment vertical="center"/>
      <protection locked="0"/>
    </xf>
    <xf numFmtId="167" fontId="5" fillId="2" borderId="2" xfId="1" applyNumberFormat="1" applyFont="1" applyFill="1" applyBorder="1" applyAlignment="1" applyProtection="1">
      <alignment vertical="center"/>
      <protection locked="0"/>
    </xf>
    <xf numFmtId="0" fontId="4" fillId="2" borderId="3" xfId="0" applyFont="1" applyFill="1" applyBorder="1" applyAlignment="1" applyProtection="1">
      <alignment horizontal="right" vertical="center"/>
      <protection locked="0"/>
    </xf>
    <xf numFmtId="0" fontId="8" fillId="2" borderId="4" xfId="0" applyFont="1" applyFill="1" applyBorder="1" applyProtection="1">
      <protection locked="0"/>
    </xf>
    <xf numFmtId="167" fontId="5" fillId="2" borderId="6" xfId="1" applyNumberFormat="1" applyFont="1" applyFill="1" applyBorder="1" applyAlignment="1" applyProtection="1">
      <alignment vertical="center"/>
      <protection locked="0"/>
    </xf>
    <xf numFmtId="167" fontId="6" fillId="3" borderId="11" xfId="1" applyNumberFormat="1" applyFont="1" applyFill="1" applyBorder="1"/>
    <xf numFmtId="0" fontId="4" fillId="2" borderId="12" xfId="0" applyFont="1" applyFill="1" applyBorder="1"/>
    <xf numFmtId="0" fontId="5" fillId="2" borderId="13" xfId="0" applyFont="1" applyFill="1" applyBorder="1"/>
    <xf numFmtId="0" fontId="5" fillId="2" borderId="13" xfId="3" applyNumberFormat="1" applyFont="1" applyFill="1" applyBorder="1" applyAlignment="1" applyProtection="1">
      <alignment horizontal="center"/>
      <protection locked="0"/>
    </xf>
    <xf numFmtId="167" fontId="5" fillId="2" borderId="13" xfId="1" applyNumberFormat="1" applyFont="1" applyFill="1" applyBorder="1" applyAlignment="1" applyProtection="1">
      <alignment horizontal="center"/>
      <protection locked="0"/>
    </xf>
    <xf numFmtId="167" fontId="5" fillId="2" borderId="15" xfId="1" applyNumberFormat="1" applyFont="1" applyFill="1" applyBorder="1" applyAlignment="1">
      <alignment horizontal="center"/>
    </xf>
    <xf numFmtId="167" fontId="6" fillId="3" borderId="2" xfId="1" applyNumberFormat="1" applyFont="1" applyFill="1" applyBorder="1"/>
    <xf numFmtId="0" fontId="5" fillId="2" borderId="3" xfId="0" applyFont="1" applyFill="1" applyBorder="1"/>
    <xf numFmtId="0" fontId="4" fillId="2" borderId="0" xfId="0" applyFont="1" applyFill="1"/>
    <xf numFmtId="168" fontId="4" fillId="2" borderId="2" xfId="2" applyNumberFormat="1" applyFont="1" applyFill="1" applyBorder="1"/>
    <xf numFmtId="0" fontId="6" fillId="3" borderId="3" xfId="0" applyFont="1" applyFill="1" applyBorder="1" applyAlignment="1">
      <alignment horizontal="right"/>
    </xf>
    <xf numFmtId="169" fontId="6" fillId="3" borderId="0" xfId="0" applyNumberFormat="1" applyFont="1" applyFill="1" applyAlignment="1">
      <alignment horizontal="left"/>
    </xf>
    <xf numFmtId="169" fontId="6" fillId="3" borderId="0" xfId="0" applyNumberFormat="1" applyFont="1" applyFill="1" applyAlignment="1" applyProtection="1">
      <alignment horizontal="left"/>
      <protection locked="0"/>
    </xf>
    <xf numFmtId="0" fontId="6" fillId="3" borderId="0" xfId="0" applyFont="1" applyFill="1"/>
    <xf numFmtId="44" fontId="6" fillId="3" borderId="0" xfId="3" applyFont="1" applyFill="1" applyBorder="1"/>
    <xf numFmtId="168" fontId="6" fillId="3" borderId="2" xfId="2" applyNumberFormat="1" applyFont="1" applyFill="1" applyBorder="1"/>
    <xf numFmtId="0" fontId="5" fillId="2" borderId="4" xfId="0" applyFont="1" applyFill="1" applyBorder="1"/>
    <xf numFmtId="170" fontId="5" fillId="2" borderId="5" xfId="0" applyNumberFormat="1" applyFont="1" applyFill="1" applyBorder="1" applyAlignment="1">
      <alignment horizontal="left"/>
    </xf>
    <xf numFmtId="41" fontId="5" fillId="2" borderId="6" xfId="2" applyFont="1" applyFill="1" applyBorder="1"/>
    <xf numFmtId="0" fontId="5" fillId="2" borderId="0" xfId="0" applyFont="1" applyFill="1"/>
    <xf numFmtId="41" fontId="5" fillId="2" borderId="2" xfId="2" applyFont="1" applyFill="1" applyBorder="1"/>
    <xf numFmtId="0" fontId="5" fillId="2" borderId="16" xfId="0" applyFont="1" applyFill="1" applyBorder="1"/>
    <xf numFmtId="41" fontId="5" fillId="2" borderId="17" xfId="2" applyFont="1" applyFill="1" applyBorder="1"/>
    <xf numFmtId="0" fontId="5" fillId="2" borderId="0" xfId="0" applyFont="1" applyFill="1" applyProtection="1">
      <protection locked="0"/>
    </xf>
    <xf numFmtId="0" fontId="9" fillId="0" borderId="0" xfId="0" applyFont="1"/>
    <xf numFmtId="0" fontId="9" fillId="0" borderId="18" xfId="0" applyFont="1" applyBorder="1"/>
    <xf numFmtId="0" fontId="9" fillId="0" borderId="19" xfId="5" applyFont="1" applyFill="1" applyBorder="1" applyAlignment="1">
      <alignment horizontal="left" vertical="center" wrapText="1"/>
    </xf>
    <xf numFmtId="14" fontId="9" fillId="0" borderId="19" xfId="5" applyNumberFormat="1" applyFont="1" applyFill="1" applyBorder="1" applyAlignment="1">
      <alignment horizontal="center" vertical="center" wrapText="1"/>
    </xf>
    <xf numFmtId="0" fontId="9" fillId="0" borderId="20" xfId="0" applyFont="1" applyBorder="1"/>
    <xf numFmtId="0" fontId="9" fillId="0" borderId="23" xfId="0" applyFont="1" applyBorder="1"/>
    <xf numFmtId="0" fontId="14" fillId="0" borderId="19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19" xfId="0" applyFont="1" applyBorder="1" applyAlignment="1">
      <alignment vertical="center" wrapText="1"/>
    </xf>
    <xf numFmtId="44" fontId="15" fillId="0" borderId="19" xfId="3" applyFont="1" applyBorder="1" applyAlignment="1">
      <alignment vertical="center"/>
    </xf>
    <xf numFmtId="0" fontId="15" fillId="0" borderId="19" xfId="0" applyFont="1" applyBorder="1" applyAlignment="1">
      <alignment vertical="center"/>
    </xf>
    <xf numFmtId="0" fontId="16" fillId="0" borderId="19" xfId="0" applyFont="1" applyBorder="1" applyAlignment="1">
      <alignment vertical="center" wrapText="1"/>
    </xf>
    <xf numFmtId="44" fontId="10" fillId="0" borderId="22" xfId="3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14" fillId="6" borderId="19" xfId="0" applyFont="1" applyFill="1" applyBorder="1" applyAlignment="1">
      <alignment horizontal="center" vertical="center"/>
    </xf>
    <xf numFmtId="0" fontId="10" fillId="2" borderId="8" xfId="5" applyFont="1" applyFill="1" applyBorder="1" applyAlignment="1">
      <alignment vertical="center" wrapText="1"/>
    </xf>
    <xf numFmtId="0" fontId="9" fillId="2" borderId="1" xfId="0" applyFont="1" applyFill="1" applyBorder="1"/>
    <xf numFmtId="0" fontId="10" fillId="2" borderId="0" xfId="5" applyFont="1" applyFill="1" applyBorder="1" applyAlignment="1">
      <alignment horizontal="center" vertical="center" wrapText="1"/>
    </xf>
    <xf numFmtId="0" fontId="10" fillId="2" borderId="0" xfId="5" applyFont="1" applyFill="1" applyBorder="1" applyAlignment="1">
      <alignment vertical="center" wrapText="1"/>
    </xf>
    <xf numFmtId="0" fontId="9" fillId="2" borderId="2" xfId="0" applyFont="1" applyFill="1" applyBorder="1"/>
    <xf numFmtId="0" fontId="9" fillId="2" borderId="0" xfId="0" applyFont="1" applyFill="1"/>
    <xf numFmtId="0" fontId="9" fillId="2" borderId="6" xfId="0" applyFont="1" applyFill="1" applyBorder="1"/>
    <xf numFmtId="0" fontId="9" fillId="2" borderId="3" xfId="0" applyFont="1" applyFill="1" applyBorder="1"/>
    <xf numFmtId="0" fontId="9" fillId="2" borderId="4" xfId="0" applyFont="1" applyFill="1" applyBorder="1"/>
    <xf numFmtId="0" fontId="9" fillId="2" borderId="20" xfId="0" applyFont="1" applyFill="1" applyBorder="1"/>
    <xf numFmtId="0" fontId="9" fillId="2" borderId="0" xfId="5" applyFont="1" applyFill="1" applyBorder="1" applyAlignment="1">
      <alignment horizontal="left" vertical="center" wrapText="1"/>
    </xf>
    <xf numFmtId="14" fontId="9" fillId="2" borderId="0" xfId="5" applyNumberFormat="1" applyFont="1" applyFill="1" applyBorder="1" applyAlignment="1">
      <alignment vertical="center" wrapText="1"/>
    </xf>
    <xf numFmtId="14" fontId="9" fillId="2" borderId="0" xfId="5" applyNumberFormat="1" applyFont="1" applyFill="1" applyBorder="1" applyAlignment="1">
      <alignment horizontal="center" vertical="center" wrapText="1"/>
    </xf>
    <xf numFmtId="14" fontId="9" fillId="2" borderId="10" xfId="5" applyNumberFormat="1" applyFont="1" applyFill="1" applyBorder="1" applyAlignment="1">
      <alignment horizontal="center" vertical="center" wrapText="1"/>
    </xf>
    <xf numFmtId="0" fontId="9" fillId="2" borderId="7" xfId="0" applyFont="1" applyFill="1" applyBorder="1"/>
    <xf numFmtId="0" fontId="9" fillId="2" borderId="18" xfId="0" applyFont="1" applyFill="1" applyBorder="1"/>
    <xf numFmtId="0" fontId="9" fillId="2" borderId="25" xfId="0" applyFont="1" applyFill="1" applyBorder="1"/>
    <xf numFmtId="0" fontId="10" fillId="2" borderId="16" xfId="5" applyFont="1" applyFill="1" applyBorder="1" applyAlignment="1">
      <alignment horizontal="left" vertical="center" wrapText="1"/>
    </xf>
    <xf numFmtId="14" fontId="9" fillId="2" borderId="16" xfId="5" applyNumberFormat="1" applyFont="1" applyFill="1" applyBorder="1" applyAlignment="1">
      <alignment vertical="center" wrapText="1"/>
    </xf>
    <xf numFmtId="0" fontId="9" fillId="0" borderId="19" xfId="0" applyFont="1" applyBorder="1"/>
    <xf numFmtId="0" fontId="9" fillId="2" borderId="19" xfId="0" applyFont="1" applyFill="1" applyBorder="1"/>
    <xf numFmtId="0" fontId="13" fillId="2" borderId="19" xfId="0" applyFont="1" applyFill="1" applyBorder="1"/>
    <xf numFmtId="9" fontId="9" fillId="2" borderId="19" xfId="4" applyFont="1" applyFill="1" applyBorder="1" applyAlignment="1">
      <alignment horizontal="center" vertical="center"/>
    </xf>
    <xf numFmtId="10" fontId="9" fillId="2" borderId="19" xfId="4" applyNumberFormat="1" applyFont="1" applyFill="1" applyBorder="1" applyAlignment="1">
      <alignment horizontal="right"/>
    </xf>
    <xf numFmtId="0" fontId="9" fillId="2" borderId="19" xfId="0" quotePrefix="1" applyFont="1" applyFill="1" applyBorder="1" applyAlignment="1">
      <alignment horizontal="center"/>
    </xf>
    <xf numFmtId="0" fontId="9" fillId="2" borderId="19" xfId="0" quotePrefix="1" applyFont="1" applyFill="1" applyBorder="1"/>
    <xf numFmtId="14" fontId="9" fillId="2" borderId="19" xfId="0" applyNumberFormat="1" applyFont="1" applyFill="1" applyBorder="1"/>
    <xf numFmtId="0" fontId="9" fillId="2" borderId="0" xfId="5" applyFont="1" applyFill="1" applyBorder="1" applyAlignment="1">
      <alignment horizontal="center" vertical="center" wrapText="1"/>
    </xf>
    <xf numFmtId="0" fontId="9" fillId="2" borderId="5" xfId="0" applyFont="1" applyFill="1" applyBorder="1"/>
    <xf numFmtId="0" fontId="10" fillId="2" borderId="5" xfId="0" applyFont="1" applyFill="1" applyBorder="1"/>
    <xf numFmtId="0" fontId="18" fillId="6" borderId="24" xfId="0" applyFont="1" applyFill="1" applyBorder="1" applyAlignment="1">
      <alignment vertical="center"/>
    </xf>
    <xf numFmtId="0" fontId="18" fillId="6" borderId="10" xfId="0" applyFont="1" applyFill="1" applyBorder="1" applyAlignment="1">
      <alignment vertical="center"/>
    </xf>
    <xf numFmtId="0" fontId="18" fillId="6" borderId="19" xfId="0" applyFont="1" applyFill="1" applyBorder="1" applyAlignment="1">
      <alignment vertical="center"/>
    </xf>
    <xf numFmtId="0" fontId="25" fillId="5" borderId="27" xfId="0" applyFont="1" applyFill="1" applyBorder="1"/>
    <xf numFmtId="0" fontId="25" fillId="5" borderId="28" xfId="0" applyFont="1" applyFill="1" applyBorder="1"/>
    <xf numFmtId="0" fontId="25" fillId="5" borderId="29" xfId="0" applyFont="1" applyFill="1" applyBorder="1"/>
    <xf numFmtId="0" fontId="25" fillId="5" borderId="0" xfId="0" applyFont="1" applyFill="1"/>
    <xf numFmtId="0" fontId="25" fillId="5" borderId="30" xfId="0" applyFont="1" applyFill="1" applyBorder="1"/>
    <xf numFmtId="0" fontId="25" fillId="5" borderId="31" xfId="0" applyFont="1" applyFill="1" applyBorder="1"/>
    <xf numFmtId="0" fontId="27" fillId="5" borderId="0" xfId="0" applyFont="1" applyFill="1"/>
    <xf numFmtId="0" fontId="20" fillId="5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left"/>
    </xf>
    <xf numFmtId="0" fontId="28" fillId="5" borderId="0" xfId="0" applyFont="1" applyFill="1" applyAlignment="1">
      <alignment horizontal="left"/>
    </xf>
    <xf numFmtId="0" fontId="27" fillId="5" borderId="0" xfId="0" applyFont="1" applyFill="1" applyAlignment="1">
      <alignment horizontal="center"/>
    </xf>
    <xf numFmtId="0" fontId="19" fillId="5" borderId="0" xfId="0" applyFont="1" applyFill="1" applyAlignment="1">
      <alignment horizontal="center" vertical="center" wrapText="1"/>
    </xf>
    <xf numFmtId="0" fontId="20" fillId="5" borderId="0" xfId="0" applyFont="1" applyFill="1" applyAlignment="1">
      <alignment horizontal="center" vertical="center" wrapText="1"/>
    </xf>
    <xf numFmtId="0" fontId="29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 wrapText="1"/>
    </xf>
    <xf numFmtId="0" fontId="27" fillId="5" borderId="0" xfId="0" applyFont="1" applyFill="1" applyAlignment="1">
      <alignment horizontal="center" vertical="center"/>
    </xf>
    <xf numFmtId="14" fontId="27" fillId="5" borderId="0" xfId="0" applyNumberFormat="1" applyFont="1" applyFill="1" applyAlignment="1">
      <alignment vertical="top"/>
    </xf>
    <xf numFmtId="0" fontId="28" fillId="5" borderId="0" xfId="0" applyFont="1" applyFill="1"/>
    <xf numFmtId="0" fontId="19" fillId="5" borderId="0" xfId="0" applyFont="1" applyFill="1" applyAlignment="1">
      <alignment vertical="center" wrapText="1"/>
    </xf>
    <xf numFmtId="0" fontId="27" fillId="5" borderId="0" xfId="0" applyFont="1" applyFill="1" applyAlignment="1">
      <alignment horizontal="left" vertical="top"/>
    </xf>
    <xf numFmtId="0" fontId="27" fillId="0" borderId="0" xfId="0" applyFont="1"/>
    <xf numFmtId="0" fontId="22" fillId="5" borderId="0" xfId="0" applyFont="1" applyFill="1" applyAlignment="1">
      <alignment vertical="center" wrapText="1"/>
    </xf>
    <xf numFmtId="0" fontId="22" fillId="5" borderId="0" xfId="0" applyFont="1" applyFill="1" applyAlignment="1">
      <alignment vertical="center"/>
    </xf>
    <xf numFmtId="0" fontId="28" fillId="5" borderId="0" xfId="0" applyFont="1" applyFill="1" applyAlignment="1">
      <alignment horizontal="center"/>
    </xf>
    <xf numFmtId="0" fontId="27" fillId="5" borderId="32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5" borderId="0" xfId="0" applyFont="1" applyFill="1" applyAlignment="1">
      <alignment vertical="top"/>
    </xf>
    <xf numFmtId="0" fontId="28" fillId="5" borderId="0" xfId="0" applyFont="1" applyFill="1" applyAlignment="1">
      <alignment vertical="top"/>
    </xf>
    <xf numFmtId="171" fontId="27" fillId="5" borderId="41" xfId="3" applyNumberFormat="1" applyFont="1" applyFill="1" applyBorder="1" applyAlignment="1">
      <alignment vertical="center"/>
    </xf>
    <xf numFmtId="171" fontId="27" fillId="5" borderId="41" xfId="3" applyNumberFormat="1" applyFont="1" applyFill="1" applyBorder="1" applyAlignment="1">
      <alignment vertical="top"/>
    </xf>
    <xf numFmtId="0" fontId="27" fillId="5" borderId="41" xfId="0" applyFont="1" applyFill="1" applyBorder="1" applyAlignment="1">
      <alignment vertical="top"/>
    </xf>
    <xf numFmtId="0" fontId="24" fillId="5" borderId="0" xfId="0" applyFont="1" applyFill="1" applyAlignment="1">
      <alignment vertical="center"/>
    </xf>
    <xf numFmtId="167" fontId="0" fillId="0" borderId="0" xfId="0" applyNumberFormat="1"/>
    <xf numFmtId="172" fontId="5" fillId="2" borderId="14" xfId="4" applyNumberFormat="1" applyFont="1" applyFill="1" applyBorder="1" applyProtection="1">
      <protection locked="0"/>
    </xf>
    <xf numFmtId="0" fontId="7" fillId="2" borderId="3" xfId="0" applyFont="1" applyFill="1" applyBorder="1" applyAlignment="1" applyProtection="1">
      <alignment horizontal="left" wrapText="1"/>
      <protection locked="0"/>
    </xf>
    <xf numFmtId="0" fontId="7" fillId="2" borderId="0" xfId="0" applyFont="1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2" xfId="0" applyBorder="1" applyAlignment="1" applyProtection="1">
      <alignment horizontal="left" wrapText="1"/>
      <protection locked="0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3" borderId="7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7" fillId="2" borderId="7" xfId="0" applyFont="1" applyFill="1" applyBorder="1" applyAlignment="1" applyProtection="1">
      <alignment horizontal="left" wrapText="1"/>
      <protection locked="0"/>
    </xf>
    <xf numFmtId="0" fontId="7" fillId="2" borderId="8" xfId="0" applyFont="1" applyFill="1" applyBorder="1" applyAlignment="1" applyProtection="1">
      <alignment horizontal="left" wrapText="1"/>
      <protection locked="0"/>
    </xf>
    <xf numFmtId="0" fontId="0" fillId="0" borderId="8" xfId="0" applyBorder="1" applyAlignment="1" applyProtection="1">
      <alignment horizontal="left" wrapText="1"/>
      <protection locked="0"/>
    </xf>
    <xf numFmtId="0" fontId="0" fillId="0" borderId="1" xfId="0" applyBorder="1" applyAlignment="1" applyProtection="1">
      <alignment horizontal="left" wrapText="1"/>
      <protection locked="0"/>
    </xf>
    <xf numFmtId="0" fontId="7" fillId="2" borderId="4" xfId="0" applyFont="1" applyFill="1" applyBorder="1" applyAlignment="1" applyProtection="1">
      <alignment horizontal="left" wrapText="1"/>
      <protection locked="0"/>
    </xf>
    <xf numFmtId="0" fontId="7" fillId="2" borderId="5" xfId="0" applyFont="1" applyFill="1" applyBorder="1" applyAlignment="1" applyProtection="1">
      <alignment horizontal="left" wrapText="1"/>
      <protection locked="0"/>
    </xf>
    <xf numFmtId="0" fontId="0" fillId="0" borderId="5" xfId="0" applyBorder="1" applyAlignment="1" applyProtection="1">
      <alignment horizontal="left" wrapText="1"/>
      <protection locked="0"/>
    </xf>
    <xf numFmtId="0" fontId="0" fillId="0" borderId="6" xfId="0" applyBorder="1" applyAlignment="1" applyProtection="1">
      <alignment horizontal="left" wrapText="1"/>
      <protection locked="0"/>
    </xf>
    <xf numFmtId="0" fontId="6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11" fillId="0" borderId="0" xfId="0" applyFont="1" applyAlignment="1">
      <alignment horizontal="left" vertical="center" wrapText="1"/>
    </xf>
    <xf numFmtId="14" fontId="9" fillId="2" borderId="16" xfId="5" applyNumberFormat="1" applyFont="1" applyFill="1" applyBorder="1" applyAlignment="1">
      <alignment horizontal="center" vertical="center" wrapText="1"/>
    </xf>
    <xf numFmtId="14" fontId="9" fillId="2" borderId="26" xfId="5" applyNumberFormat="1" applyFont="1" applyFill="1" applyBorder="1" applyAlignment="1">
      <alignment horizontal="center" vertical="center" wrapText="1"/>
    </xf>
    <xf numFmtId="0" fontId="10" fillId="2" borderId="0" xfId="5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9" fillId="2" borderId="18" xfId="0" applyFont="1" applyFill="1" applyBorder="1" applyAlignment="1">
      <alignment horizontal="left" vertical="top" wrapText="1"/>
    </xf>
    <xf numFmtId="0" fontId="9" fillId="2" borderId="23" xfId="0" applyFont="1" applyFill="1" applyBorder="1" applyAlignment="1">
      <alignment horizontal="left" vertical="top" wrapText="1"/>
    </xf>
    <xf numFmtId="0" fontId="9" fillId="2" borderId="24" xfId="0" applyFont="1" applyFill="1" applyBorder="1" applyAlignment="1">
      <alignment horizontal="left" vertical="top" wrapText="1"/>
    </xf>
    <xf numFmtId="0" fontId="9" fillId="2" borderId="20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0" fontId="9" fillId="2" borderId="10" xfId="0" applyFont="1" applyFill="1" applyBorder="1" applyAlignment="1">
      <alignment horizontal="left" vertical="top" wrapText="1"/>
    </xf>
    <xf numFmtId="0" fontId="9" fillId="2" borderId="25" xfId="0" applyFont="1" applyFill="1" applyBorder="1" applyAlignment="1">
      <alignment horizontal="left" vertical="top" wrapText="1"/>
    </xf>
    <xf numFmtId="0" fontId="9" fillId="2" borderId="16" xfId="0" applyFont="1" applyFill="1" applyBorder="1" applyAlignment="1">
      <alignment horizontal="left" vertical="top" wrapText="1"/>
    </xf>
    <xf numFmtId="0" fontId="9" fillId="2" borderId="26" xfId="0" applyFont="1" applyFill="1" applyBorder="1" applyAlignment="1">
      <alignment horizontal="left" vertical="top" wrapText="1"/>
    </xf>
    <xf numFmtId="0" fontId="11" fillId="0" borderId="19" xfId="0" applyFont="1" applyBorder="1" applyAlignment="1">
      <alignment horizontal="left" vertical="center" wrapText="1"/>
    </xf>
    <xf numFmtId="0" fontId="10" fillId="2" borderId="19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0" fontId="14" fillId="0" borderId="21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6" borderId="19" xfId="0" applyFont="1" applyFill="1" applyBorder="1" applyAlignment="1">
      <alignment horizontal="center" vertical="center" wrapText="1"/>
    </xf>
    <xf numFmtId="43" fontId="9" fillId="0" borderId="19" xfId="1" applyFont="1" applyFill="1" applyBorder="1" applyAlignment="1">
      <alignment horizontal="right" vertical="center" wrapText="1"/>
    </xf>
    <xf numFmtId="43" fontId="10" fillId="0" borderId="19" xfId="1" applyFont="1" applyFill="1" applyBorder="1" applyAlignment="1">
      <alignment horizontal="right" vertical="center" wrapText="1"/>
    </xf>
    <xf numFmtId="14" fontId="9" fillId="0" borderId="19" xfId="5" applyNumberFormat="1" applyFont="1" applyFill="1" applyBorder="1" applyAlignment="1">
      <alignment horizontal="right" vertical="center" wrapText="1"/>
    </xf>
    <xf numFmtId="0" fontId="9" fillId="2" borderId="19" xfId="5" applyFont="1" applyFill="1" applyBorder="1" applyAlignment="1">
      <alignment horizontal="left" vertical="top" wrapText="1"/>
    </xf>
    <xf numFmtId="0" fontId="9" fillId="2" borderId="21" xfId="5" applyFont="1" applyFill="1" applyBorder="1" applyAlignment="1">
      <alignment horizontal="left" vertical="center" wrapText="1"/>
    </xf>
    <xf numFmtId="0" fontId="9" fillId="2" borderId="14" xfId="5" applyFont="1" applyFill="1" applyBorder="1" applyAlignment="1">
      <alignment horizontal="left" vertical="center" wrapText="1"/>
    </xf>
    <xf numFmtId="0" fontId="9" fillId="2" borderId="22" xfId="5" applyFont="1" applyFill="1" applyBorder="1" applyAlignment="1">
      <alignment horizontal="left" vertical="center" wrapText="1"/>
    </xf>
    <xf numFmtId="14" fontId="9" fillId="2" borderId="21" xfId="5" applyNumberFormat="1" applyFont="1" applyFill="1" applyBorder="1" applyAlignment="1">
      <alignment horizontal="center" vertical="center"/>
    </xf>
    <xf numFmtId="14" fontId="9" fillId="2" borderId="22" xfId="5" applyNumberFormat="1" applyFont="1" applyFill="1" applyBorder="1" applyAlignment="1">
      <alignment horizontal="center" vertical="center"/>
    </xf>
    <xf numFmtId="0" fontId="9" fillId="0" borderId="19" xfId="5" applyNumberFormat="1" applyFont="1" applyFill="1" applyBorder="1" applyAlignment="1">
      <alignment horizontal="center" vertical="center" wrapText="1"/>
    </xf>
    <xf numFmtId="14" fontId="9" fillId="0" borderId="19" xfId="5" applyNumberFormat="1" applyFont="1" applyFill="1" applyBorder="1" applyAlignment="1">
      <alignment horizontal="center" vertical="center" wrapText="1"/>
    </xf>
    <xf numFmtId="14" fontId="9" fillId="0" borderId="21" xfId="5" applyNumberFormat="1" applyFont="1" applyFill="1" applyBorder="1" applyAlignment="1">
      <alignment horizontal="right" vertical="center" wrapText="1"/>
    </xf>
    <xf numFmtId="14" fontId="9" fillId="0" borderId="22" xfId="5" applyNumberFormat="1" applyFont="1" applyFill="1" applyBorder="1" applyAlignment="1">
      <alignment horizontal="right" vertical="center" wrapText="1"/>
    </xf>
    <xf numFmtId="0" fontId="10" fillId="2" borderId="8" xfId="5" applyFont="1" applyFill="1" applyBorder="1" applyAlignment="1">
      <alignment horizontal="center" vertical="center" wrapText="1"/>
    </xf>
    <xf numFmtId="0" fontId="10" fillId="0" borderId="0" xfId="5" applyFont="1" applyFill="1" applyBorder="1" applyAlignment="1">
      <alignment horizontal="center" vertical="center" wrapText="1"/>
    </xf>
    <xf numFmtId="0" fontId="9" fillId="0" borderId="19" xfId="1" applyNumberFormat="1" applyFont="1" applyFill="1" applyBorder="1" applyAlignment="1">
      <alignment horizontal="center" vertical="center" wrapText="1"/>
    </xf>
    <xf numFmtId="0" fontId="27" fillId="5" borderId="0" xfId="0" applyFont="1" applyFill="1" applyAlignment="1">
      <alignment horizontal="left" vertical="top" wrapText="1"/>
    </xf>
    <xf numFmtId="0" fontId="22" fillId="5" borderId="0" xfId="0" applyFont="1" applyFill="1" applyAlignment="1">
      <alignment horizontal="center" vertical="center" wrapText="1"/>
    </xf>
    <xf numFmtId="0" fontId="21" fillId="5" borderId="0" xfId="0" applyFont="1" applyFill="1" applyAlignment="1">
      <alignment horizontal="center" vertical="center" wrapText="1"/>
    </xf>
    <xf numFmtId="0" fontId="22" fillId="5" borderId="16" xfId="0" applyFont="1" applyFill="1" applyBorder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0" fontId="27" fillId="5" borderId="27" xfId="0" applyFont="1" applyFill="1" applyBorder="1" applyAlignment="1">
      <alignment horizontal="left" vertical="top" wrapText="1"/>
    </xf>
    <xf numFmtId="0" fontId="27" fillId="5" borderId="28" xfId="0" applyFont="1" applyFill="1" applyBorder="1" applyAlignment="1">
      <alignment horizontal="left" vertical="top" wrapText="1"/>
    </xf>
    <xf numFmtId="0" fontId="27" fillId="5" borderId="33" xfId="0" applyFont="1" applyFill="1" applyBorder="1" applyAlignment="1">
      <alignment horizontal="left" vertical="top" wrapText="1"/>
    </xf>
    <xf numFmtId="0" fontId="27" fillId="5" borderId="30" xfId="0" applyFont="1" applyFill="1" applyBorder="1" applyAlignment="1">
      <alignment horizontal="left" vertical="top" wrapText="1"/>
    </xf>
    <xf numFmtId="0" fontId="27" fillId="5" borderId="31" xfId="0" applyFont="1" applyFill="1" applyBorder="1" applyAlignment="1">
      <alignment horizontal="left" vertical="top" wrapText="1"/>
    </xf>
    <xf numFmtId="0" fontId="27" fillId="5" borderId="34" xfId="0" applyFont="1" applyFill="1" applyBorder="1" applyAlignment="1">
      <alignment horizontal="left" vertical="top" wrapText="1"/>
    </xf>
    <xf numFmtId="0" fontId="31" fillId="5" borderId="0" xfId="0" applyFont="1" applyFill="1" applyAlignment="1">
      <alignment horizontal="left"/>
    </xf>
    <xf numFmtId="0" fontId="27" fillId="5" borderId="27" xfId="0" applyFont="1" applyFill="1" applyBorder="1" applyAlignment="1">
      <alignment horizontal="left" vertical="top"/>
    </xf>
    <xf numFmtId="0" fontId="27" fillId="5" borderId="28" xfId="0" applyFont="1" applyFill="1" applyBorder="1" applyAlignment="1">
      <alignment horizontal="left" vertical="top"/>
    </xf>
    <xf numFmtId="0" fontId="27" fillId="5" borderId="33" xfId="0" applyFont="1" applyFill="1" applyBorder="1" applyAlignment="1">
      <alignment horizontal="left" vertical="top"/>
    </xf>
    <xf numFmtId="0" fontId="27" fillId="5" borderId="30" xfId="0" applyFont="1" applyFill="1" applyBorder="1" applyAlignment="1">
      <alignment horizontal="left" vertical="top"/>
    </xf>
    <xf numFmtId="0" fontId="27" fillId="5" borderId="31" xfId="0" applyFont="1" applyFill="1" applyBorder="1" applyAlignment="1">
      <alignment horizontal="left" vertical="top"/>
    </xf>
    <xf numFmtId="0" fontId="27" fillId="5" borderId="34" xfId="0" applyFont="1" applyFill="1" applyBorder="1" applyAlignment="1">
      <alignment horizontal="left" vertical="top"/>
    </xf>
    <xf numFmtId="0" fontId="27" fillId="5" borderId="27" xfId="0" applyFont="1" applyFill="1" applyBorder="1" applyAlignment="1">
      <alignment horizontal="left"/>
    </xf>
    <xf numFmtId="0" fontId="27" fillId="5" borderId="28" xfId="0" applyFont="1" applyFill="1" applyBorder="1" applyAlignment="1">
      <alignment horizontal="left"/>
    </xf>
    <xf numFmtId="0" fontId="27" fillId="5" borderId="33" xfId="0" applyFont="1" applyFill="1" applyBorder="1" applyAlignment="1">
      <alignment horizontal="left"/>
    </xf>
    <xf numFmtId="0" fontId="27" fillId="5" borderId="30" xfId="0" applyFont="1" applyFill="1" applyBorder="1" applyAlignment="1">
      <alignment horizontal="left"/>
    </xf>
    <xf numFmtId="0" fontId="27" fillId="5" borderId="31" xfId="0" applyFont="1" applyFill="1" applyBorder="1" applyAlignment="1">
      <alignment horizontal="left"/>
    </xf>
    <xf numFmtId="0" fontId="27" fillId="5" borderId="34" xfId="0" applyFont="1" applyFill="1" applyBorder="1" applyAlignment="1">
      <alignment horizontal="left"/>
    </xf>
    <xf numFmtId="0" fontId="23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7" fillId="5" borderId="38" xfId="0" applyFont="1" applyFill="1" applyBorder="1" applyAlignment="1">
      <alignment horizontal="left" vertical="top"/>
    </xf>
    <xf numFmtId="0" fontId="27" fillId="5" borderId="39" xfId="0" applyFont="1" applyFill="1" applyBorder="1" applyAlignment="1">
      <alignment horizontal="left" vertical="top"/>
    </xf>
    <xf numFmtId="0" fontId="27" fillId="5" borderId="40" xfId="0" applyFont="1" applyFill="1" applyBorder="1" applyAlignment="1">
      <alignment horizontal="left" vertical="top"/>
    </xf>
    <xf numFmtId="0" fontId="27" fillId="5" borderId="35" xfId="0" applyFont="1" applyFill="1" applyBorder="1" applyAlignment="1">
      <alignment horizontal="left" vertical="top" wrapText="1"/>
    </xf>
    <xf numFmtId="0" fontId="27" fillId="5" borderId="36" xfId="0" applyFont="1" applyFill="1" applyBorder="1" applyAlignment="1">
      <alignment horizontal="left" vertical="top" wrapText="1"/>
    </xf>
    <xf numFmtId="0" fontId="27" fillId="5" borderId="37" xfId="0" applyFont="1" applyFill="1" applyBorder="1" applyAlignment="1">
      <alignment horizontal="left" vertical="top" wrapText="1"/>
    </xf>
    <xf numFmtId="14" fontId="30" fillId="5" borderId="19" xfId="0" applyNumberFormat="1" applyFont="1" applyFill="1" applyBorder="1" applyAlignment="1">
      <alignment horizontal="center" vertical="top"/>
    </xf>
    <xf numFmtId="0" fontId="30" fillId="5" borderId="19" xfId="0" applyFont="1" applyFill="1" applyBorder="1" applyAlignment="1">
      <alignment horizontal="center" vertical="top"/>
    </xf>
    <xf numFmtId="0" fontId="27" fillId="5" borderId="27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5" borderId="28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5" borderId="33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5" borderId="30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5" borderId="3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5" borderId="34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5" borderId="0" xfId="0" applyFont="1" applyFill="1" applyAlignment="1">
      <alignment horizontal="center" vertical="center" wrapText="1"/>
    </xf>
    <xf numFmtId="0" fontId="27" fillId="5" borderId="32" xfId="0" applyFont="1" applyFill="1" applyBorder="1" applyAlignment="1">
      <alignment horizontal="center"/>
    </xf>
    <xf numFmtId="0" fontId="26" fillId="7" borderId="0" xfId="0" applyFont="1" applyFill="1" applyAlignment="1">
      <alignment horizontal="center" vertical="center"/>
    </xf>
    <xf numFmtId="0" fontId="26" fillId="7" borderId="3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</cellXfs>
  <cellStyles count="6">
    <cellStyle name="40% - Énfasis1" xfId="5" builtinId="31"/>
    <cellStyle name="Millares" xfId="1" builtinId="3"/>
    <cellStyle name="Millares [0]" xfId="2" builtinId="6"/>
    <cellStyle name="Moneda" xfId="3" builtinId="4"/>
    <cellStyle name="Normal" xfId="0" builtinId="0"/>
    <cellStyle name="Porcentaje" xfId="4" builtinId="5"/>
  </cellStyles>
  <dxfs count="4"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checked="Checked" fmlaLink="$F$40" lockText="1" noThreeD="1"/>
</file>

<file path=xl/ctrlProps/ctrlProp2.xml><?xml version="1.0" encoding="utf-8"?>
<formControlPr xmlns="http://schemas.microsoft.com/office/spreadsheetml/2009/9/main" objectType="CheckBox" checked="Checked" fmlaLink="$F$41" lockText="1" noThreeD="1"/>
</file>

<file path=xl/ctrlProps/ctrlProp3.xml><?xml version="1.0" encoding="utf-8"?>
<formControlPr xmlns="http://schemas.microsoft.com/office/spreadsheetml/2009/9/main" objectType="CheckBox" checked="Checked" fmlaLink="$F$42" lockText="1" noThreeD="1"/>
</file>

<file path=xl/ctrlProps/ctrlProp4.xml><?xml version="1.0" encoding="utf-8"?>
<formControlPr xmlns="http://schemas.microsoft.com/office/spreadsheetml/2009/9/main" objectType="CheckBox" checked="Checked" fmlaLink="$F$44" lockText="1" noThreeD="1"/>
</file>

<file path=xl/ctrlProps/ctrlProp5.xml><?xml version="1.0" encoding="utf-8"?>
<formControlPr xmlns="http://schemas.microsoft.com/office/spreadsheetml/2009/9/main" objectType="CheckBox" checked="Checked" fmlaLink="$F$39" lockText="1" noThreeD="1"/>
</file>

<file path=xl/ctrlProps/ctrlProp6.xml><?xml version="1.0" encoding="utf-8"?>
<formControlPr xmlns="http://schemas.microsoft.com/office/spreadsheetml/2009/9/main" objectType="CheckBox" checked="Checked" fmlaLink="$F$43" lockText="1" noThreeD="1"/>
</file>

<file path=xl/ctrlProps/ctrlProp7.xml><?xml version="1.0" encoding="utf-8"?>
<formControlPr xmlns="http://schemas.microsoft.com/office/spreadsheetml/2009/9/main" objectType="CheckBox" checked="Checked" fmlaLink="$F$38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426720</xdr:colOff>
      <xdr:row>1</xdr:row>
      <xdr:rowOff>0</xdr:rowOff>
    </xdr:from>
    <xdr:to>
      <xdr:col>7</xdr:col>
      <xdr:colOff>742949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4C02C1-237E-40C7-B109-DDED8B6BC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2880"/>
          <a:ext cx="1573529" cy="1051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68580</xdr:colOff>
      <xdr:row>36</xdr:row>
      <xdr:rowOff>38100</xdr:rowOff>
    </xdr:from>
    <xdr:to>
      <xdr:col>7</xdr:col>
      <xdr:colOff>1796415</xdr:colOff>
      <xdr:row>37</xdr:row>
      <xdr:rowOff>154305</xdr:rowOff>
    </xdr:to>
    <xdr:sp macro="[0]!ModuloExportWord.exportaraword2" textlink="">
      <xdr:nvSpPr>
        <xdr:cNvPr id="3" name="1 Rectángulo redondeado">
          <a:extLst>
            <a:ext uri="{FF2B5EF4-FFF2-40B4-BE49-F238E27FC236}">
              <a16:creationId xmlns:a16="http://schemas.microsoft.com/office/drawing/2014/main" id="{C3E37A9C-3D97-4B50-92DE-417B6390BE33}"/>
            </a:ext>
          </a:extLst>
        </xdr:cNvPr>
        <xdr:cNvSpPr/>
      </xdr:nvSpPr>
      <xdr:spPr>
        <a:xfrm>
          <a:off x="7498080" y="6652260"/>
          <a:ext cx="1727835" cy="299085"/>
        </a:xfrm>
        <a:prstGeom prst="roundRect">
          <a:avLst/>
        </a:prstGeom>
        <a:solidFill>
          <a:srgbClr val="002060"/>
        </a:solidFill>
        <a:ln>
          <a:solidFill>
            <a:schemeClr val="tx2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1100" b="1"/>
            <a:t>LIQUIDAR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38</xdr:row>
          <xdr:rowOff>723900</xdr:rowOff>
        </xdr:from>
        <xdr:to>
          <xdr:col>4</xdr:col>
          <xdr:colOff>476250</xdr:colOff>
          <xdr:row>40</xdr:row>
          <xdr:rowOff>171450</xdr:rowOff>
        </xdr:to>
        <xdr:sp macro="" textlink="">
          <xdr:nvSpPr>
            <xdr:cNvPr id="5138" name="Casilla 1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1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40</xdr:row>
          <xdr:rowOff>123825</xdr:rowOff>
        </xdr:from>
        <xdr:to>
          <xdr:col>4</xdr:col>
          <xdr:colOff>485775</xdr:colOff>
          <xdr:row>40</xdr:row>
          <xdr:rowOff>723900</xdr:rowOff>
        </xdr:to>
        <xdr:sp macro="" textlink="">
          <xdr:nvSpPr>
            <xdr:cNvPr id="5139" name="Check Box 4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1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200025</xdr:colOff>
          <xdr:row>40</xdr:row>
          <xdr:rowOff>971550</xdr:rowOff>
        </xdr:from>
        <xdr:to>
          <xdr:col>4</xdr:col>
          <xdr:colOff>447675</xdr:colOff>
          <xdr:row>42</xdr:row>
          <xdr:rowOff>390525</xdr:rowOff>
        </xdr:to>
        <xdr:sp macro="" textlink="">
          <xdr:nvSpPr>
            <xdr:cNvPr id="5140" name="Check Box 5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1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43</xdr:row>
          <xdr:rowOff>66675</xdr:rowOff>
        </xdr:from>
        <xdr:to>
          <xdr:col>4</xdr:col>
          <xdr:colOff>485775</xdr:colOff>
          <xdr:row>43</xdr:row>
          <xdr:rowOff>666750</xdr:rowOff>
        </xdr:to>
        <xdr:sp macro="" textlink="">
          <xdr:nvSpPr>
            <xdr:cNvPr id="5141" name="Check Box 6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1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38</xdr:row>
          <xdr:rowOff>123825</xdr:rowOff>
        </xdr:from>
        <xdr:to>
          <xdr:col>4</xdr:col>
          <xdr:colOff>485775</xdr:colOff>
          <xdr:row>38</xdr:row>
          <xdr:rowOff>733425</xdr:rowOff>
        </xdr:to>
        <xdr:sp macro="" textlink="">
          <xdr:nvSpPr>
            <xdr:cNvPr id="5142" name="Check Box 7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1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5</xdr:col>
      <xdr:colOff>352425</xdr:colOff>
      <xdr:row>1</xdr:row>
      <xdr:rowOff>55440</xdr:rowOff>
    </xdr:from>
    <xdr:to>
      <xdr:col>5</xdr:col>
      <xdr:colOff>2613660</xdr:colOff>
      <xdr:row>5</xdr:row>
      <xdr:rowOff>190499</xdr:rowOff>
    </xdr:to>
    <xdr:pic>
      <xdr:nvPicPr>
        <xdr:cNvPr id="4" name="0 Imagen">
          <a:extLst>
            <a:ext uri="{FF2B5EF4-FFF2-40B4-BE49-F238E27FC236}">
              <a16:creationId xmlns:a16="http://schemas.microsoft.com/office/drawing/2014/main" id="{1B18ADB6-0D88-4FF3-A8F8-EF6E5774E4A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3585" y="291660"/>
          <a:ext cx="2261235" cy="104945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190500</xdr:colOff>
          <xdr:row>41</xdr:row>
          <xdr:rowOff>504825</xdr:rowOff>
        </xdr:from>
        <xdr:to>
          <xdr:col>4</xdr:col>
          <xdr:colOff>438150</xdr:colOff>
          <xdr:row>43</xdr:row>
          <xdr:rowOff>95250</xdr:rowOff>
        </xdr:to>
        <xdr:sp macro="" textlink="">
          <xdr:nvSpPr>
            <xdr:cNvPr id="5143" name="Check Box 23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1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257175</xdr:colOff>
          <xdr:row>37</xdr:row>
          <xdr:rowOff>47625</xdr:rowOff>
        </xdr:from>
        <xdr:to>
          <xdr:col>4</xdr:col>
          <xdr:colOff>504825</xdr:colOff>
          <xdr:row>37</xdr:row>
          <xdr:rowOff>647700</xdr:rowOff>
        </xdr:to>
        <xdr:sp macro="" textlink="">
          <xdr:nvSpPr>
            <xdr:cNvPr id="5144" name="Check Box 3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1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10909</xdr:colOff>
      <xdr:row>1</xdr:row>
      <xdr:rowOff>1256</xdr:rowOff>
    </xdr:from>
    <xdr:ext cx="1117146" cy="342115"/>
    <xdr:pic>
      <xdr:nvPicPr>
        <xdr:cNvPr id="4" name="Imagen 3">
          <a:extLst>
            <a:ext uri="{FF2B5EF4-FFF2-40B4-BE49-F238E27FC236}">
              <a16:creationId xmlns:a16="http://schemas.microsoft.com/office/drawing/2014/main" id="{D28C3808-AB3A-4C0D-86AA-A124FBDA9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949" y="184136"/>
          <a:ext cx="1117146" cy="342115"/>
        </a:xfrm>
        <a:prstGeom prst="rect">
          <a:avLst/>
        </a:prstGeom>
      </xdr:spPr>
    </xdr:pic>
    <xdr:clientData/>
  </xdr:oneCellAnchor>
  <xdr:oneCellAnchor>
    <xdr:from>
      <xdr:col>1</xdr:col>
      <xdr:colOff>10909</xdr:colOff>
      <xdr:row>1</xdr:row>
      <xdr:rowOff>1256</xdr:rowOff>
    </xdr:from>
    <xdr:ext cx="1117146" cy="342115"/>
    <xdr:pic>
      <xdr:nvPicPr>
        <xdr:cNvPr id="5" name="Imagen 4">
          <a:extLst>
            <a:ext uri="{FF2B5EF4-FFF2-40B4-BE49-F238E27FC236}">
              <a16:creationId xmlns:a16="http://schemas.microsoft.com/office/drawing/2014/main" id="{A5E6FC96-C1F7-4D13-BEDD-D85AF6852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949" y="184136"/>
          <a:ext cx="1117146" cy="342115"/>
        </a:xfrm>
        <a:prstGeom prst="rect">
          <a:avLst/>
        </a:prstGeom>
      </xdr:spPr>
    </xdr:pic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omments" Target="../comments1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F0EEE-D2EF-4F92-979A-E23D1E471123}">
  <sheetPr codeName="Hoja1"/>
  <dimension ref="A1:H38"/>
  <sheetViews>
    <sheetView tabSelected="1" zoomScale="102" zoomScaleNormal="102" workbookViewId="0">
      <selection activeCell="B27" sqref="B27"/>
    </sheetView>
  </sheetViews>
  <sheetFormatPr baseColWidth="10" defaultRowHeight="15"/>
  <cols>
    <col min="1" max="1" width="20" customWidth="1"/>
    <col min="2" max="2" width="29.5703125" customWidth="1"/>
    <col min="3" max="3" width="29.28515625" customWidth="1"/>
    <col min="4" max="4" width="24.7109375" hidden="1" customWidth="1"/>
    <col min="6" max="6" width="17.28515625" customWidth="1"/>
    <col min="7" max="7" width="18.28515625" customWidth="1"/>
    <col min="8" max="8" width="27.28515625" customWidth="1"/>
  </cols>
  <sheetData>
    <row r="1" spans="1:8">
      <c r="A1" s="136" t="s">
        <v>0</v>
      </c>
      <c r="B1" s="137"/>
      <c r="C1" s="137"/>
      <c r="D1" s="137"/>
      <c r="E1" s="137"/>
      <c r="F1" s="137"/>
      <c r="G1" s="137"/>
      <c r="H1" s="1"/>
    </row>
    <row r="2" spans="1:8">
      <c r="A2" s="137"/>
      <c r="B2" s="137"/>
      <c r="C2" s="137"/>
      <c r="D2" s="137"/>
      <c r="E2" s="137"/>
      <c r="F2" s="137"/>
      <c r="G2" s="137"/>
      <c r="H2" s="2"/>
    </row>
    <row r="3" spans="1:8">
      <c r="A3" s="137"/>
      <c r="B3" s="137"/>
      <c r="C3" s="137"/>
      <c r="D3" s="137"/>
      <c r="E3" s="137"/>
      <c r="F3" s="137"/>
      <c r="G3" s="137"/>
      <c r="H3" s="2"/>
    </row>
    <row r="4" spans="1:8">
      <c r="A4" s="3" t="s">
        <v>1</v>
      </c>
      <c r="B4" s="4">
        <v>123456</v>
      </c>
      <c r="C4" s="4"/>
      <c r="D4" s="5"/>
      <c r="E4" s="5"/>
      <c r="F4" s="5"/>
      <c r="G4" s="5"/>
      <c r="H4" s="6"/>
    </row>
    <row r="5" spans="1:8">
      <c r="A5" s="3" t="s">
        <v>73</v>
      </c>
      <c r="B5" s="4">
        <v>5456</v>
      </c>
      <c r="C5" s="4"/>
      <c r="D5" s="5"/>
      <c r="E5" s="5"/>
      <c r="F5" s="5"/>
      <c r="G5" s="5"/>
      <c r="H5" s="6"/>
    </row>
    <row r="6" spans="1:8">
      <c r="A6" s="3" t="s">
        <v>2</v>
      </c>
      <c r="B6" s="7">
        <v>1234656</v>
      </c>
      <c r="C6" s="7"/>
      <c r="D6" s="8"/>
      <c r="E6" s="8"/>
      <c r="F6" s="8"/>
      <c r="G6" s="8"/>
      <c r="H6" s="6"/>
    </row>
    <row r="7" spans="1:8">
      <c r="A7" s="3" t="s">
        <v>3</v>
      </c>
      <c r="B7" s="9">
        <v>123566</v>
      </c>
      <c r="C7" s="9"/>
      <c r="D7" s="10"/>
      <c r="E7" s="10"/>
      <c r="F7" s="10"/>
      <c r="G7" s="10"/>
      <c r="H7" s="6"/>
    </row>
    <row r="8" spans="1:8">
      <c r="A8" s="3" t="s">
        <v>4</v>
      </c>
      <c r="B8" s="11" t="s">
        <v>107</v>
      </c>
      <c r="C8" s="11"/>
      <c r="D8" s="10"/>
      <c r="E8" s="12"/>
      <c r="F8" s="12"/>
      <c r="G8" s="12"/>
      <c r="H8" s="6"/>
    </row>
    <row r="9" spans="1:8">
      <c r="A9" s="3" t="s">
        <v>5</v>
      </c>
      <c r="B9" s="13">
        <v>46154</v>
      </c>
      <c r="C9" s="13"/>
      <c r="D9" s="12"/>
      <c r="E9" s="10"/>
      <c r="F9" s="10"/>
      <c r="G9" s="10"/>
      <c r="H9" s="14"/>
    </row>
    <row r="10" spans="1:8">
      <c r="A10" s="3" t="s">
        <v>6</v>
      </c>
      <c r="B10" s="11">
        <v>1212121</v>
      </c>
      <c r="C10" s="11"/>
      <c r="D10" s="10"/>
      <c r="E10" s="10"/>
      <c r="F10" s="10"/>
      <c r="G10" s="10"/>
      <c r="H10" s="14"/>
    </row>
    <row r="11" spans="1:8" ht="42" customHeight="1">
      <c r="A11" s="3" t="s">
        <v>7</v>
      </c>
      <c r="B11" s="15" t="s">
        <v>8</v>
      </c>
      <c r="C11" s="15"/>
      <c r="D11" s="10"/>
      <c r="E11" s="10"/>
      <c r="F11" s="10"/>
      <c r="G11" s="10"/>
      <c r="H11" s="14"/>
    </row>
    <row r="12" spans="1:8" ht="15.75" thickBot="1">
      <c r="A12" s="16"/>
      <c r="B12" s="17"/>
      <c r="C12" s="17"/>
      <c r="D12" s="17"/>
      <c r="E12" s="17"/>
      <c r="F12" s="17"/>
      <c r="G12" s="17"/>
      <c r="H12" s="18"/>
    </row>
    <row r="13" spans="1:8" ht="15.75" thickBot="1">
      <c r="A13" s="19" t="s">
        <v>9</v>
      </c>
      <c r="B13" s="138" t="s">
        <v>10</v>
      </c>
      <c r="C13" s="139"/>
      <c r="D13" s="140"/>
      <c r="E13" s="140"/>
      <c r="F13" s="140"/>
      <c r="G13" s="141"/>
      <c r="H13" s="20" t="s">
        <v>11</v>
      </c>
    </row>
    <row r="14" spans="1:8">
      <c r="A14" s="21"/>
      <c r="B14" s="142" t="s">
        <v>12</v>
      </c>
      <c r="C14" s="143"/>
      <c r="D14" s="144"/>
      <c r="E14" s="144"/>
      <c r="F14" s="144"/>
      <c r="G14" s="145"/>
      <c r="H14" s="22">
        <v>10000</v>
      </c>
    </row>
    <row r="15" spans="1:8">
      <c r="A15" s="21"/>
      <c r="B15" s="132" t="s">
        <v>12</v>
      </c>
      <c r="C15" s="133"/>
      <c r="D15" s="134"/>
      <c r="E15" s="134"/>
      <c r="F15" s="134"/>
      <c r="G15" s="135"/>
      <c r="H15" s="23">
        <v>1000000</v>
      </c>
    </row>
    <row r="16" spans="1:8">
      <c r="A16" s="24"/>
      <c r="B16" s="132" t="s">
        <v>12</v>
      </c>
      <c r="C16" s="133"/>
      <c r="D16" s="134"/>
      <c r="E16" s="134"/>
      <c r="F16" s="134"/>
      <c r="G16" s="135"/>
      <c r="H16" s="23">
        <v>100000000</v>
      </c>
    </row>
    <row r="17" spans="1:8">
      <c r="A17" s="24"/>
      <c r="B17" s="132"/>
      <c r="C17" s="133"/>
      <c r="D17" s="134"/>
      <c r="E17" s="134"/>
      <c r="F17" s="134"/>
      <c r="G17" s="135"/>
      <c r="H17" s="23"/>
    </row>
    <row r="18" spans="1:8">
      <c r="A18" s="21"/>
      <c r="B18" s="132"/>
      <c r="C18" s="133"/>
      <c r="D18" s="134"/>
      <c r="E18" s="134"/>
      <c r="F18" s="134"/>
      <c r="G18" s="135"/>
      <c r="H18" s="23"/>
    </row>
    <row r="19" spans="1:8">
      <c r="A19" s="21"/>
      <c r="B19" s="132"/>
      <c r="C19" s="133"/>
      <c r="D19" s="134"/>
      <c r="E19" s="134"/>
      <c r="F19" s="134"/>
      <c r="G19" s="135"/>
      <c r="H19" s="23"/>
    </row>
    <row r="20" spans="1:8">
      <c r="A20" s="21"/>
      <c r="B20" s="132"/>
      <c r="C20" s="133"/>
      <c r="D20" s="134"/>
      <c r="E20" s="134"/>
      <c r="F20" s="134"/>
      <c r="G20" s="135"/>
      <c r="H20" s="23"/>
    </row>
    <row r="21" spans="1:8">
      <c r="A21" s="21"/>
      <c r="B21" s="132"/>
      <c r="C21" s="133"/>
      <c r="D21" s="134"/>
      <c r="E21" s="134"/>
      <c r="F21" s="134"/>
      <c r="G21" s="135"/>
      <c r="H21" s="23"/>
    </row>
    <row r="22" spans="1:8">
      <c r="A22" s="21"/>
      <c r="B22" s="132"/>
      <c r="C22" s="133"/>
      <c r="D22" s="134"/>
      <c r="E22" s="134"/>
      <c r="F22" s="134"/>
      <c r="G22" s="135"/>
      <c r="H22" s="23"/>
    </row>
    <row r="23" spans="1:8">
      <c r="A23" s="21"/>
      <c r="B23" s="132"/>
      <c r="C23" s="133"/>
      <c r="D23" s="134"/>
      <c r="E23" s="134"/>
      <c r="F23" s="134"/>
      <c r="G23" s="135"/>
      <c r="H23" s="23"/>
    </row>
    <row r="24" spans="1:8">
      <c r="A24" s="21"/>
      <c r="B24" s="132"/>
      <c r="C24" s="133"/>
      <c r="D24" s="134"/>
      <c r="E24" s="134"/>
      <c r="F24" s="134"/>
      <c r="G24" s="135"/>
      <c r="H24" s="23"/>
    </row>
    <row r="25" spans="1:8" ht="15.75" thickBot="1">
      <c r="A25" s="25"/>
      <c r="B25" s="146"/>
      <c r="C25" s="147"/>
      <c r="D25" s="148"/>
      <c r="E25" s="148"/>
      <c r="F25" s="148"/>
      <c r="G25" s="149"/>
      <c r="H25" s="26"/>
    </row>
    <row r="26" spans="1:8" ht="15.75" thickBot="1">
      <c r="A26" s="150" t="s">
        <v>13</v>
      </c>
      <c r="B26" s="151"/>
      <c r="C26" s="151"/>
      <c r="D26" s="152"/>
      <c r="E26" s="152"/>
      <c r="F26" s="152"/>
      <c r="G26" s="153"/>
      <c r="H26" s="27">
        <f>SUM(H14:H25)</f>
        <v>101010000</v>
      </c>
    </row>
    <row r="27" spans="1:8" ht="15.75" thickBot="1">
      <c r="A27" s="28" t="s">
        <v>14</v>
      </c>
      <c r="B27" s="29" t="str">
        <f>B11</f>
        <v xml:space="preserve"> 0% del Valor de la Pérdida Mínimo 0 SMMLV</v>
      </c>
      <c r="C27" s="131">
        <v>0.1</v>
      </c>
      <c r="D27" s="130">
        <f>H26*C27</f>
        <v>10101000</v>
      </c>
      <c r="E27" s="30" t="s">
        <v>11</v>
      </c>
      <c r="F27" s="30">
        <v>1</v>
      </c>
      <c r="G27" s="31">
        <v>10200000</v>
      </c>
      <c r="H27" s="32">
        <f>MAX(D27,G27)</f>
        <v>10200000</v>
      </c>
    </row>
    <row r="28" spans="1:8">
      <c r="A28" s="150" t="s">
        <v>15</v>
      </c>
      <c r="B28" s="151"/>
      <c r="C28" s="151"/>
      <c r="D28" s="152"/>
      <c r="E28" s="152"/>
      <c r="F28" s="152"/>
      <c r="G28" s="152"/>
      <c r="H28" s="33">
        <f>H26-H27</f>
        <v>90810000</v>
      </c>
    </row>
    <row r="29" spans="1:8">
      <c r="A29" s="34"/>
      <c r="B29" s="35"/>
      <c r="C29" s="35"/>
      <c r="D29" s="35"/>
      <c r="E29" s="35"/>
      <c r="F29" s="35"/>
      <c r="G29" s="35"/>
      <c r="H29" s="36"/>
    </row>
    <row r="30" spans="1:8">
      <c r="A30" s="37"/>
      <c r="B30" s="38" t="s">
        <v>16</v>
      </c>
      <c r="C30" s="38"/>
      <c r="D30" s="39" t="s">
        <v>17</v>
      </c>
      <c r="E30" s="40" t="s">
        <v>18</v>
      </c>
      <c r="F30" s="40"/>
      <c r="G30" s="41"/>
      <c r="H30" s="42"/>
    </row>
    <row r="31" spans="1:8" ht="15.75" thickBot="1">
      <c r="A31" s="43"/>
      <c r="B31" s="44"/>
      <c r="C31" s="44"/>
      <c r="D31" s="44"/>
      <c r="E31" s="17"/>
      <c r="F31" s="17"/>
      <c r="G31" s="17"/>
      <c r="H31" s="45"/>
    </row>
    <row r="32" spans="1:8">
      <c r="A32" s="34"/>
      <c r="B32" s="46"/>
      <c r="C32" s="46"/>
      <c r="D32" s="46"/>
      <c r="E32" s="46"/>
      <c r="F32" s="46"/>
      <c r="G32" s="46"/>
      <c r="H32" s="47"/>
    </row>
    <row r="33" spans="1:8">
      <c r="A33" s="34"/>
      <c r="B33" s="46"/>
      <c r="C33" s="46"/>
      <c r="D33" s="46"/>
      <c r="E33" s="46"/>
      <c r="F33" s="46"/>
      <c r="G33" s="46"/>
      <c r="H33" s="47"/>
    </row>
    <row r="34" spans="1:8">
      <c r="A34" s="34"/>
      <c r="B34" s="46"/>
      <c r="C34" s="46"/>
      <c r="D34" s="46"/>
      <c r="E34" s="46"/>
      <c r="F34" s="46"/>
      <c r="G34" s="46"/>
      <c r="H34" s="47"/>
    </row>
    <row r="35" spans="1:8">
      <c r="A35" s="34"/>
      <c r="B35" s="46"/>
      <c r="C35" s="46"/>
      <c r="D35" s="46"/>
      <c r="E35" s="46"/>
      <c r="F35" s="46"/>
      <c r="G35" s="46"/>
      <c r="H35" s="47"/>
    </row>
    <row r="36" spans="1:8">
      <c r="A36" s="48"/>
      <c r="B36" s="48"/>
      <c r="C36" s="48"/>
      <c r="D36" s="48"/>
      <c r="E36" s="48"/>
      <c r="F36" s="48"/>
      <c r="G36" s="48"/>
      <c r="H36" s="49"/>
    </row>
    <row r="37" spans="1:8">
      <c r="A37" s="34" t="s">
        <v>19</v>
      </c>
      <c r="B37" s="50"/>
      <c r="C37" s="50"/>
      <c r="D37" s="46"/>
      <c r="E37" s="46"/>
      <c r="F37" s="46"/>
      <c r="G37" s="46"/>
      <c r="H37" s="6"/>
    </row>
    <row r="38" spans="1:8" ht="15.75" thickBot="1">
      <c r="A38" s="43"/>
      <c r="B38" s="17"/>
      <c r="C38" s="17"/>
      <c r="D38" s="17"/>
      <c r="E38" s="17"/>
      <c r="F38" s="17"/>
      <c r="G38" s="17"/>
      <c r="H38" s="18"/>
    </row>
  </sheetData>
  <mergeCells count="16">
    <mergeCell ref="B24:G24"/>
    <mergeCell ref="B25:G25"/>
    <mergeCell ref="A26:G26"/>
    <mergeCell ref="A28:G28"/>
    <mergeCell ref="B18:G18"/>
    <mergeCell ref="B19:G19"/>
    <mergeCell ref="B20:G20"/>
    <mergeCell ref="B21:G21"/>
    <mergeCell ref="B22:G22"/>
    <mergeCell ref="B23:G23"/>
    <mergeCell ref="B17:G17"/>
    <mergeCell ref="A1:G3"/>
    <mergeCell ref="B13:G13"/>
    <mergeCell ref="B14:G14"/>
    <mergeCell ref="B15:G15"/>
    <mergeCell ref="B16:G16"/>
  </mergeCells>
  <dataValidations count="5">
    <dataValidation type="whole" allowBlank="1" showInputMessage="1" showErrorMessage="1" sqref="H14:H25" xr:uid="{0CA813E9-9B73-42C5-92EF-DDFD02989F4D}">
      <formula1>0</formula1>
      <formula2>1E+22</formula2>
    </dataValidation>
    <dataValidation type="decimal" allowBlank="1" showInputMessage="1" showErrorMessage="1" sqref="G30" xr:uid="{10A413D0-7E46-4C85-80C3-24DE91FA6C4F}">
      <formula1>0</formula1>
      <formula2>1000000</formula2>
    </dataValidation>
    <dataValidation type="custom" allowBlank="1" showInputMessage="1" showErrorMessage="1" errorTitle="ERROR DE SELECCION" error="SI DESEA INGRESAR UN VALOR EN ESTE CAMPO EL TIPO DE DEDUCIBLE MINIMO DEBE SELECCIONAR (VALOR)" sqref="G27" xr:uid="{5D631E24-B3C2-45B2-92BE-61A6A96826BA}">
      <formula1>$E$27="VALOR"</formula1>
    </dataValidation>
    <dataValidation type="decimal" allowBlank="1" showInputMessage="1" showErrorMessage="1" sqref="F27" xr:uid="{FE848D0F-9F2F-4C49-B7D2-7FB448EE10F0}">
      <formula1>0</formula1>
      <formula2>1000</formula2>
    </dataValidation>
    <dataValidation type="decimal" allowBlank="1" showInputMessage="1" showErrorMessage="1" sqref="C27" xr:uid="{3D22DA79-BDBB-4692-8CDE-1C37F91513DB}">
      <formula1>0</formula1>
      <formula2>100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DD227-024F-4D58-A26D-F5014940FC31}">
  <sheetPr codeName="Hoja2">
    <pageSetUpPr fitToPage="1"/>
  </sheetPr>
  <dimension ref="A1:O70"/>
  <sheetViews>
    <sheetView view="pageBreakPreview" zoomScale="60" zoomScaleNormal="100" workbookViewId="0">
      <selection activeCell="E21" sqref="E21:F21"/>
    </sheetView>
  </sheetViews>
  <sheetFormatPr baseColWidth="10" defaultRowHeight="15"/>
  <cols>
    <col min="1" max="1" width="3.5703125" customWidth="1"/>
    <col min="2" max="2" width="7" customWidth="1"/>
    <col min="3" max="3" width="29.5703125" bestFit="1" customWidth="1"/>
    <col min="4" max="4" width="21.28515625" bestFit="1" customWidth="1"/>
    <col min="5" max="5" width="22.28515625" customWidth="1"/>
    <col min="6" max="6" width="39.28515625" customWidth="1"/>
    <col min="7" max="7" width="19.140625" customWidth="1"/>
  </cols>
  <sheetData>
    <row r="1" spans="1:15" ht="19.5" thickBot="1">
      <c r="A1" s="51"/>
      <c r="B1" s="51"/>
      <c r="C1" s="51"/>
      <c r="D1" s="51"/>
      <c r="E1" s="51"/>
      <c r="F1" s="51"/>
      <c r="G1" s="51"/>
      <c r="O1" s="51"/>
    </row>
    <row r="2" spans="1:15" ht="18.75">
      <c r="A2" s="80"/>
      <c r="B2" s="194" t="s">
        <v>20</v>
      </c>
      <c r="C2" s="194"/>
      <c r="D2" s="194"/>
      <c r="E2" s="194"/>
      <c r="F2" s="66"/>
      <c r="G2" s="67"/>
      <c r="O2" s="51"/>
    </row>
    <row r="3" spans="1:15" ht="18.75">
      <c r="A3" s="73"/>
      <c r="B3" s="157"/>
      <c r="C3" s="157"/>
      <c r="D3" s="157"/>
      <c r="E3" s="157"/>
      <c r="F3" s="69"/>
      <c r="G3" s="70"/>
      <c r="O3" s="51" t="s">
        <v>74</v>
      </c>
    </row>
    <row r="4" spans="1:15" ht="18.75">
      <c r="A4" s="73"/>
      <c r="B4" s="157"/>
      <c r="C4" s="157"/>
      <c r="D4" s="157"/>
      <c r="E4" s="157"/>
      <c r="F4" s="69"/>
      <c r="G4" s="70"/>
      <c r="O4" s="51" t="s">
        <v>35</v>
      </c>
    </row>
    <row r="5" spans="1:15" ht="18.75">
      <c r="A5" s="73"/>
      <c r="B5" s="157"/>
      <c r="C5" s="157"/>
      <c r="D5" s="157"/>
      <c r="E5" s="157"/>
      <c r="F5" s="69"/>
      <c r="G5" s="70"/>
      <c r="O5" s="51"/>
    </row>
    <row r="6" spans="1:15" ht="18.75">
      <c r="A6" s="73"/>
      <c r="B6" s="71"/>
      <c r="C6" s="68"/>
      <c r="D6" s="68"/>
      <c r="E6" s="68"/>
      <c r="F6" s="68"/>
      <c r="G6" s="70"/>
      <c r="O6" s="51" t="s">
        <v>39</v>
      </c>
    </row>
    <row r="7" spans="1:15" ht="18.75">
      <c r="A7" s="73"/>
      <c r="B7" s="195" t="s">
        <v>21</v>
      </c>
      <c r="C7" s="195"/>
      <c r="D7" s="195"/>
      <c r="E7" s="195"/>
      <c r="F7" s="195"/>
      <c r="G7" s="70"/>
      <c r="O7" s="51" t="s">
        <v>75</v>
      </c>
    </row>
    <row r="8" spans="1:15" ht="18.75">
      <c r="A8" s="73"/>
      <c r="B8" s="71"/>
      <c r="C8" s="68"/>
      <c r="D8" s="68"/>
      <c r="E8" s="68"/>
      <c r="F8" s="68"/>
      <c r="G8" s="70"/>
      <c r="O8" s="51" t="s">
        <v>76</v>
      </c>
    </row>
    <row r="9" spans="1:15" ht="18.75">
      <c r="A9" s="73"/>
      <c r="B9" s="81"/>
      <c r="C9" s="53" t="s">
        <v>22</v>
      </c>
      <c r="D9" s="191">
        <f ca="1">TODAY()</f>
        <v>46211</v>
      </c>
      <c r="E9" s="191"/>
      <c r="F9" s="191"/>
      <c r="G9" s="70"/>
    </row>
    <row r="10" spans="1:15" ht="18.75">
      <c r="A10" s="73"/>
      <c r="B10" s="75"/>
      <c r="C10" s="53" t="s">
        <v>23</v>
      </c>
      <c r="D10" s="196">
        <f>FORMATO_LIQUIDACION!B5</f>
        <v>5456</v>
      </c>
      <c r="E10" s="196"/>
      <c r="F10" s="196"/>
      <c r="G10" s="70"/>
    </row>
    <row r="11" spans="1:15" ht="18.75">
      <c r="A11" s="73"/>
      <c r="B11" s="75"/>
      <c r="C11" s="53" t="s">
        <v>24</v>
      </c>
      <c r="D11" s="196" t="str">
        <f>FORMATO_LIQUIDACION!B8</f>
        <v>ksk4</v>
      </c>
      <c r="E11" s="196"/>
      <c r="F11" s="196"/>
      <c r="G11" s="70"/>
    </row>
    <row r="12" spans="1:15" ht="18.75">
      <c r="A12" s="73"/>
      <c r="B12" s="75"/>
      <c r="C12" s="53" t="s">
        <v>25</v>
      </c>
      <c r="D12" s="191" t="s">
        <v>26</v>
      </c>
      <c r="E12" s="191"/>
      <c r="F12" s="191"/>
      <c r="G12" s="70"/>
    </row>
    <row r="13" spans="1:15" ht="18.75">
      <c r="A13" s="73"/>
      <c r="B13" s="75"/>
      <c r="C13" s="53" t="s">
        <v>27</v>
      </c>
      <c r="D13" s="190" t="str">
        <f>FORMATO_LIQUIDACION!B8</f>
        <v>ksk4</v>
      </c>
      <c r="E13" s="190"/>
      <c r="F13" s="190"/>
      <c r="G13" s="70"/>
    </row>
    <row r="14" spans="1:15" ht="18.75">
      <c r="A14" s="73"/>
      <c r="B14" s="75"/>
      <c r="C14" s="53" t="s">
        <v>28</v>
      </c>
      <c r="D14" s="190">
        <f>FORMATO_LIQUIDACION!B6</f>
        <v>1234656</v>
      </c>
      <c r="E14" s="190"/>
      <c r="F14" s="190"/>
      <c r="G14" s="70"/>
    </row>
    <row r="15" spans="1:15" ht="24" customHeight="1">
      <c r="A15" s="73"/>
      <c r="B15" s="75"/>
      <c r="C15" s="53" t="s">
        <v>29</v>
      </c>
      <c r="D15" s="54">
        <v>45789</v>
      </c>
      <c r="E15" s="54" t="s">
        <v>30</v>
      </c>
      <c r="F15" s="54">
        <v>46157</v>
      </c>
      <c r="G15" s="70"/>
    </row>
    <row r="16" spans="1:15" ht="18.75">
      <c r="A16" s="73"/>
      <c r="B16" s="75"/>
      <c r="C16" s="53" t="s">
        <v>31</v>
      </c>
      <c r="D16" s="191">
        <f>FORMATO_LIQUIDACION!B9</f>
        <v>46154</v>
      </c>
      <c r="E16" s="191"/>
      <c r="F16" s="191"/>
      <c r="G16" s="70"/>
    </row>
    <row r="17" spans="1:7" ht="18.75">
      <c r="A17" s="73"/>
      <c r="B17" s="75"/>
      <c r="C17" s="53" t="s">
        <v>32</v>
      </c>
      <c r="D17" s="190">
        <f>D14</f>
        <v>1234656</v>
      </c>
      <c r="E17" s="190"/>
      <c r="F17" s="190"/>
      <c r="G17" s="70"/>
    </row>
    <row r="18" spans="1:7" ht="18.75">
      <c r="A18" s="73"/>
      <c r="B18" s="75"/>
      <c r="C18" s="53" t="s">
        <v>33</v>
      </c>
      <c r="D18" s="190" t="s">
        <v>39</v>
      </c>
      <c r="E18" s="190"/>
      <c r="F18" s="190"/>
      <c r="G18" s="70"/>
    </row>
    <row r="19" spans="1:7" ht="18.75">
      <c r="A19" s="73"/>
      <c r="B19" s="75"/>
      <c r="C19" s="53" t="s">
        <v>34</v>
      </c>
      <c r="D19" s="54" t="s">
        <v>74</v>
      </c>
      <c r="E19" s="192"/>
      <c r="F19" s="193"/>
      <c r="G19" s="70"/>
    </row>
    <row r="20" spans="1:7" ht="18.75">
      <c r="A20" s="73"/>
      <c r="B20" s="75"/>
      <c r="C20" s="53" t="s">
        <v>36</v>
      </c>
      <c r="D20" s="54" t="s">
        <v>74</v>
      </c>
      <c r="E20" s="192"/>
      <c r="F20" s="193"/>
      <c r="G20" s="70"/>
    </row>
    <row r="21" spans="1:7" ht="18.75">
      <c r="A21" s="73"/>
      <c r="B21" s="75"/>
      <c r="C21" s="53" t="s">
        <v>37</v>
      </c>
      <c r="D21" s="54" t="s">
        <v>35</v>
      </c>
      <c r="E21" s="192"/>
      <c r="F21" s="193"/>
      <c r="G21" s="70"/>
    </row>
    <row r="22" spans="1:7" ht="18.75">
      <c r="A22" s="73"/>
      <c r="B22" s="75"/>
      <c r="C22" s="53" t="s">
        <v>38</v>
      </c>
      <c r="D22" s="54" t="s">
        <v>39</v>
      </c>
      <c r="E22" s="192"/>
      <c r="F22" s="193"/>
      <c r="G22" s="70"/>
    </row>
    <row r="23" spans="1:7" ht="18.75">
      <c r="A23" s="73"/>
      <c r="B23" s="75"/>
      <c r="C23" s="53" t="s">
        <v>40</v>
      </c>
      <c r="D23" s="54" t="s">
        <v>35</v>
      </c>
      <c r="E23" s="192"/>
      <c r="F23" s="193"/>
      <c r="G23" s="70"/>
    </row>
    <row r="24" spans="1:7" ht="18.75">
      <c r="A24" s="73"/>
      <c r="B24" s="75"/>
      <c r="C24" s="53" t="s">
        <v>41</v>
      </c>
      <c r="D24" s="54"/>
      <c r="E24" s="181"/>
      <c r="F24" s="181"/>
      <c r="G24" s="70"/>
    </row>
    <row r="25" spans="1:7" ht="18.75">
      <c r="A25" s="73"/>
      <c r="B25" s="75"/>
      <c r="C25" s="53" t="s">
        <v>42</v>
      </c>
      <c r="D25" s="54"/>
      <c r="E25" s="181">
        <f>[1]FORMATO_LIQUIDACION!G25</f>
        <v>101010000</v>
      </c>
      <c r="F25" s="181"/>
      <c r="G25" s="70"/>
    </row>
    <row r="26" spans="1:7" ht="18.75">
      <c r="A26" s="73"/>
      <c r="B26" s="75"/>
      <c r="C26" s="53" t="s">
        <v>43</v>
      </c>
      <c r="D26" s="54"/>
      <c r="E26" s="181">
        <f>[1]FORMATO_LIQUIDACION!F26</f>
        <v>1000000</v>
      </c>
      <c r="F26" s="181"/>
      <c r="G26" s="70"/>
    </row>
    <row r="27" spans="1:7" ht="18.75">
      <c r="A27" s="73"/>
      <c r="B27" s="75"/>
      <c r="C27" s="53" t="s">
        <v>44</v>
      </c>
      <c r="D27" s="54"/>
      <c r="E27" s="182">
        <f>[1]FORMATO_LIQUIDACION!G27</f>
        <v>95959500</v>
      </c>
      <c r="F27" s="182"/>
      <c r="G27" s="70"/>
    </row>
    <row r="28" spans="1:7" ht="18.75">
      <c r="A28" s="73"/>
      <c r="B28" s="75"/>
      <c r="C28" s="53" t="s">
        <v>45</v>
      </c>
      <c r="D28" s="54" t="s">
        <v>35</v>
      </c>
      <c r="E28" s="188" t="s">
        <v>106</v>
      </c>
      <c r="F28" s="189"/>
      <c r="G28" s="70"/>
    </row>
    <row r="29" spans="1:7" ht="18.75">
      <c r="A29" s="73"/>
      <c r="B29" s="75"/>
      <c r="C29" s="53" t="s">
        <v>46</v>
      </c>
      <c r="D29" s="54" t="s">
        <v>35</v>
      </c>
      <c r="E29" s="183"/>
      <c r="F29" s="183"/>
      <c r="G29" s="70"/>
    </row>
    <row r="30" spans="1:7" ht="18.75">
      <c r="A30" s="73"/>
      <c r="B30" s="75"/>
      <c r="C30" s="53" t="s">
        <v>47</v>
      </c>
      <c r="D30" s="54" t="s">
        <v>35</v>
      </c>
      <c r="E30" s="183"/>
      <c r="F30" s="183"/>
      <c r="G30" s="70"/>
    </row>
    <row r="31" spans="1:7" ht="18.75">
      <c r="A31" s="73"/>
      <c r="B31" s="75"/>
      <c r="C31" s="76"/>
      <c r="D31" s="77"/>
      <c r="E31" s="78"/>
      <c r="F31" s="79"/>
      <c r="G31" s="70"/>
    </row>
    <row r="32" spans="1:7" ht="18.75">
      <c r="A32" s="73"/>
      <c r="B32" s="75"/>
      <c r="C32" s="185" t="s">
        <v>48</v>
      </c>
      <c r="D32" s="186"/>
      <c r="E32" s="186"/>
      <c r="F32" s="187"/>
      <c r="G32" s="70"/>
    </row>
    <row r="33" spans="1:7" ht="82.15" customHeight="1">
      <c r="A33" s="73"/>
      <c r="B33" s="75"/>
      <c r="C33" s="184"/>
      <c r="D33" s="184"/>
      <c r="E33" s="184"/>
      <c r="F33" s="184"/>
      <c r="G33" s="70"/>
    </row>
    <row r="34" spans="1:7" ht="37.5">
      <c r="A34" s="73"/>
      <c r="B34" s="82"/>
      <c r="C34" s="83" t="s">
        <v>49</v>
      </c>
      <c r="D34" s="84"/>
      <c r="E34" s="155"/>
      <c r="F34" s="156"/>
      <c r="G34" s="70"/>
    </row>
    <row r="35" spans="1:7" ht="18.75">
      <c r="A35" s="73"/>
      <c r="B35" s="71"/>
      <c r="C35" s="76"/>
      <c r="D35" s="76"/>
      <c r="E35" s="93"/>
      <c r="F35" s="93"/>
      <c r="G35" s="70"/>
    </row>
    <row r="36" spans="1:7" ht="18.75">
      <c r="A36" s="73"/>
      <c r="B36" s="157" t="s">
        <v>50</v>
      </c>
      <c r="C36" s="157"/>
      <c r="D36" s="157"/>
      <c r="E36" s="157"/>
      <c r="F36" s="157"/>
      <c r="G36" s="70"/>
    </row>
    <row r="37" spans="1:7" ht="18.75">
      <c r="A37" s="73"/>
      <c r="B37" s="71"/>
      <c r="C37" s="68"/>
      <c r="D37" s="68"/>
      <c r="E37" s="68"/>
      <c r="F37" s="68"/>
      <c r="G37" s="70"/>
    </row>
    <row r="38" spans="1:7" ht="56.45" customHeight="1">
      <c r="A38" s="73"/>
      <c r="B38" s="52"/>
      <c r="C38" s="158" t="s">
        <v>51</v>
      </c>
      <c r="D38" s="158"/>
      <c r="E38" s="56"/>
      <c r="F38" s="96" t="b">
        <v>1</v>
      </c>
      <c r="G38" s="70"/>
    </row>
    <row r="39" spans="1:7" ht="69.599999999999994" customHeight="1">
      <c r="A39" s="73"/>
      <c r="B39" s="55"/>
      <c r="C39" s="154" t="s">
        <v>52</v>
      </c>
      <c r="D39" s="154"/>
      <c r="E39" s="51" t="s">
        <v>74</v>
      </c>
      <c r="F39" s="97" t="b">
        <v>1</v>
      </c>
      <c r="G39" s="70"/>
    </row>
    <row r="40" spans="1:7" ht="72.599999999999994" customHeight="1">
      <c r="A40" s="73"/>
      <c r="B40" s="55"/>
      <c r="C40" s="159" t="s">
        <v>53</v>
      </c>
      <c r="D40" s="159"/>
      <c r="E40" s="51"/>
      <c r="F40" s="97" t="b">
        <v>1</v>
      </c>
      <c r="G40" s="70"/>
    </row>
    <row r="41" spans="1:7" ht="102.6" customHeight="1">
      <c r="A41" s="73"/>
      <c r="B41" s="55"/>
      <c r="C41" s="154" t="s">
        <v>54</v>
      </c>
      <c r="D41" s="154"/>
      <c r="E41" s="51"/>
      <c r="F41" s="97" t="b">
        <v>1</v>
      </c>
      <c r="G41" s="70"/>
    </row>
    <row r="42" spans="1:7" ht="43.9" customHeight="1">
      <c r="A42" s="73"/>
      <c r="B42" s="55"/>
      <c r="C42" s="154" t="s">
        <v>55</v>
      </c>
      <c r="D42" s="154"/>
      <c r="E42" s="51"/>
      <c r="F42" s="97" t="b">
        <v>1</v>
      </c>
      <c r="G42" s="70"/>
    </row>
    <row r="43" spans="1:7" ht="46.9" customHeight="1">
      <c r="A43" s="73"/>
      <c r="B43" s="55"/>
      <c r="C43" s="154" t="s">
        <v>56</v>
      </c>
      <c r="D43" s="154"/>
      <c r="E43" s="51"/>
      <c r="F43" s="97" t="b">
        <v>1</v>
      </c>
      <c r="G43" s="70"/>
    </row>
    <row r="44" spans="1:7" ht="64.150000000000006" customHeight="1">
      <c r="A44" s="73"/>
      <c r="B44" s="85"/>
      <c r="C44" s="171" t="s">
        <v>57</v>
      </c>
      <c r="D44" s="171"/>
      <c r="E44" s="85"/>
      <c r="F44" s="98" t="b">
        <v>1</v>
      </c>
      <c r="G44" s="70"/>
    </row>
    <row r="45" spans="1:7" ht="18.75">
      <c r="A45" s="73"/>
      <c r="B45" s="86"/>
      <c r="C45" s="173"/>
      <c r="D45" s="174"/>
      <c r="E45" s="86"/>
      <c r="F45" s="87"/>
      <c r="G45" s="70"/>
    </row>
    <row r="46" spans="1:7" ht="18.75">
      <c r="A46" s="73"/>
      <c r="B46" s="86"/>
      <c r="C46" s="172" t="s">
        <v>58</v>
      </c>
      <c r="D46" s="172"/>
      <c r="E46" s="88">
        <f>COUNTIF(F38:F44,TRUE)/COUNTA(C38:C44)</f>
        <v>1</v>
      </c>
      <c r="F46" s="86"/>
      <c r="G46" s="70"/>
    </row>
    <row r="47" spans="1:7" ht="18.75">
      <c r="A47" s="73"/>
      <c r="B47" s="86"/>
      <c r="C47" s="175"/>
      <c r="D47" s="176"/>
      <c r="E47" s="89"/>
      <c r="F47" s="86"/>
      <c r="G47" s="70"/>
    </row>
    <row r="48" spans="1:7" ht="18.75">
      <c r="A48" s="73"/>
      <c r="B48" s="86"/>
      <c r="C48" s="172" t="s">
        <v>59</v>
      </c>
      <c r="D48" s="172"/>
      <c r="E48" s="90" t="str">
        <f>IF(E46=1,"Sí","No")</f>
        <v>Sí</v>
      </c>
      <c r="F48" s="91"/>
      <c r="G48" s="70"/>
    </row>
    <row r="49" spans="1:7" ht="18.75">
      <c r="A49" s="73"/>
      <c r="B49" s="86"/>
      <c r="C49" s="172" t="s">
        <v>60</v>
      </c>
      <c r="D49" s="172"/>
      <c r="E49" s="92"/>
      <c r="F49" s="91"/>
      <c r="G49" s="70"/>
    </row>
    <row r="50" spans="1:7" ht="18.75">
      <c r="A50" s="73"/>
      <c r="B50" s="71"/>
      <c r="C50" s="71"/>
      <c r="D50" s="71"/>
      <c r="E50" s="71"/>
      <c r="F50" s="71"/>
      <c r="G50" s="70"/>
    </row>
    <row r="51" spans="1:7" ht="18.75">
      <c r="A51" s="73"/>
      <c r="B51" s="71"/>
      <c r="C51" s="71"/>
      <c r="D51" s="71"/>
      <c r="E51" s="71"/>
      <c r="F51" s="71"/>
      <c r="G51" s="70"/>
    </row>
    <row r="52" spans="1:7" ht="18.75">
      <c r="A52" s="73"/>
      <c r="B52" s="157" t="s">
        <v>61</v>
      </c>
      <c r="C52" s="157"/>
      <c r="D52" s="157"/>
      <c r="E52" s="157"/>
      <c r="F52" s="157"/>
      <c r="G52" s="70"/>
    </row>
    <row r="53" spans="1:7" ht="18.75">
      <c r="A53" s="73"/>
      <c r="B53" s="71"/>
      <c r="C53" s="71"/>
      <c r="D53" s="71"/>
      <c r="E53" s="71"/>
      <c r="F53" s="71"/>
      <c r="G53" s="70"/>
    </row>
    <row r="54" spans="1:7" ht="18.75">
      <c r="A54" s="73"/>
      <c r="B54" s="71"/>
      <c r="C54" s="71"/>
      <c r="D54" s="71"/>
      <c r="E54" s="71"/>
      <c r="F54" s="71"/>
      <c r="G54" s="70"/>
    </row>
    <row r="55" spans="1:7" ht="18.75">
      <c r="A55" s="73"/>
      <c r="B55" s="177" t="s">
        <v>62</v>
      </c>
      <c r="C55" s="178"/>
      <c r="D55" s="179"/>
      <c r="E55" s="65" t="s">
        <v>63</v>
      </c>
      <c r="F55" s="180" t="s">
        <v>64</v>
      </c>
      <c r="G55" s="70"/>
    </row>
    <row r="56" spans="1:7" ht="18.75">
      <c r="A56" s="73"/>
      <c r="B56" s="57" t="s">
        <v>65</v>
      </c>
      <c r="C56" s="57" t="s">
        <v>66</v>
      </c>
      <c r="D56" s="57" t="s">
        <v>67</v>
      </c>
      <c r="E56" s="65" t="s">
        <v>67</v>
      </c>
      <c r="F56" s="180"/>
      <c r="G56" s="70"/>
    </row>
    <row r="57" spans="1:7" ht="56.25">
      <c r="A57" s="73"/>
      <c r="B57" s="58">
        <v>1</v>
      </c>
      <c r="C57" s="59" t="str">
        <f>FORMATO_LIQUIDACION!B14</f>
        <v xml:space="preserve">Cualquier cosa </v>
      </c>
      <c r="D57" s="60">
        <f>FORMATO_LIQUIDACION!H26</f>
        <v>101010000</v>
      </c>
      <c r="E57" s="60">
        <f>D57</f>
        <v>101010000</v>
      </c>
      <c r="F57" s="59" t="s">
        <v>68</v>
      </c>
      <c r="G57" s="70"/>
    </row>
    <row r="58" spans="1:7" ht="37.5">
      <c r="A58" s="73"/>
      <c r="B58" s="58">
        <v>2</v>
      </c>
      <c r="C58" s="61"/>
      <c r="D58" s="61"/>
      <c r="E58" s="61"/>
      <c r="F58" s="62" t="s">
        <v>108</v>
      </c>
      <c r="G58" s="70"/>
    </row>
    <row r="59" spans="1:7" ht="18.75">
      <c r="A59" s="73"/>
      <c r="B59" s="58">
        <v>3</v>
      </c>
      <c r="C59" s="61"/>
      <c r="D59" s="60"/>
      <c r="E59" s="60"/>
      <c r="F59" s="62"/>
      <c r="G59" s="70"/>
    </row>
    <row r="60" spans="1:7" ht="18.75">
      <c r="A60" s="73"/>
      <c r="B60" s="160" t="s">
        <v>69</v>
      </c>
      <c r="C60" s="161"/>
      <c r="D60" s="63">
        <f>SUM(D57:D59)</f>
        <v>101010000</v>
      </c>
      <c r="E60" s="63">
        <f>SUM(E57:E59)</f>
        <v>101010000</v>
      </c>
      <c r="F60" s="64"/>
      <c r="G60" s="70"/>
    </row>
    <row r="61" spans="1:7" ht="18.75">
      <c r="A61" s="73"/>
      <c r="B61" s="71"/>
      <c r="C61" s="71"/>
      <c r="D61" s="71"/>
      <c r="E61" s="71"/>
      <c r="F61" s="71"/>
      <c r="G61" s="70"/>
    </row>
    <row r="62" spans="1:7" ht="18.75">
      <c r="A62" s="73"/>
      <c r="B62" s="157" t="s">
        <v>70</v>
      </c>
      <c r="C62" s="157"/>
      <c r="D62" s="157"/>
      <c r="E62" s="157"/>
      <c r="F62" s="157"/>
      <c r="G62" s="70"/>
    </row>
    <row r="63" spans="1:7" ht="18.75">
      <c r="A63" s="73"/>
      <c r="B63" s="71"/>
      <c r="C63" s="71"/>
      <c r="D63" s="71"/>
      <c r="E63" s="71"/>
      <c r="F63" s="71"/>
      <c r="G63" s="70"/>
    </row>
    <row r="64" spans="1:7" ht="18.75">
      <c r="A64" s="73"/>
      <c r="B64" s="162" t="s">
        <v>71</v>
      </c>
      <c r="C64" s="163"/>
      <c r="D64" s="163"/>
      <c r="E64" s="163"/>
      <c r="F64" s="164"/>
      <c r="G64" s="70"/>
    </row>
    <row r="65" spans="1:7" ht="18.75">
      <c r="A65" s="73"/>
      <c r="B65" s="165"/>
      <c r="C65" s="166"/>
      <c r="D65" s="166"/>
      <c r="E65" s="166"/>
      <c r="F65" s="167"/>
      <c r="G65" s="70"/>
    </row>
    <row r="66" spans="1:7" ht="18.75">
      <c r="A66" s="73"/>
      <c r="B66" s="165"/>
      <c r="C66" s="166"/>
      <c r="D66" s="166"/>
      <c r="E66" s="166"/>
      <c r="F66" s="167"/>
      <c r="G66" s="70"/>
    </row>
    <row r="67" spans="1:7" ht="18.75">
      <c r="A67" s="73"/>
      <c r="B67" s="165"/>
      <c r="C67" s="166"/>
      <c r="D67" s="166"/>
      <c r="E67" s="166"/>
      <c r="F67" s="167"/>
      <c r="G67" s="70"/>
    </row>
    <row r="68" spans="1:7" ht="18.75">
      <c r="A68" s="73"/>
      <c r="B68" s="165"/>
      <c r="C68" s="166"/>
      <c r="D68" s="166"/>
      <c r="E68" s="166"/>
      <c r="F68" s="167"/>
      <c r="G68" s="70"/>
    </row>
    <row r="69" spans="1:7" ht="18.75">
      <c r="A69" s="73"/>
      <c r="B69" s="168"/>
      <c r="C69" s="169"/>
      <c r="D69" s="169"/>
      <c r="E69" s="169"/>
      <c r="F69" s="170"/>
      <c r="G69" s="70"/>
    </row>
    <row r="70" spans="1:7" ht="19.5" thickBot="1">
      <c r="A70" s="74"/>
      <c r="B70" s="94"/>
      <c r="C70" s="95" t="s">
        <v>72</v>
      </c>
      <c r="D70" s="94"/>
      <c r="E70" s="94"/>
      <c r="F70" s="94"/>
      <c r="G70" s="72"/>
    </row>
  </sheetData>
  <dataConsolidate/>
  <mergeCells count="45">
    <mergeCell ref="D12:F12"/>
    <mergeCell ref="B2:E5"/>
    <mergeCell ref="B7:F7"/>
    <mergeCell ref="D9:F9"/>
    <mergeCell ref="D10:F10"/>
    <mergeCell ref="D11:F11"/>
    <mergeCell ref="E25:F25"/>
    <mergeCell ref="D13:F13"/>
    <mergeCell ref="D14:F14"/>
    <mergeCell ref="D16:F16"/>
    <mergeCell ref="D17:F17"/>
    <mergeCell ref="D18:F18"/>
    <mergeCell ref="E19:F19"/>
    <mergeCell ref="E20:F20"/>
    <mergeCell ref="E21:F21"/>
    <mergeCell ref="E22:F22"/>
    <mergeCell ref="E23:F23"/>
    <mergeCell ref="E24:F24"/>
    <mergeCell ref="E26:F26"/>
    <mergeCell ref="E27:F27"/>
    <mergeCell ref="E29:F29"/>
    <mergeCell ref="E30:F30"/>
    <mergeCell ref="C33:F33"/>
    <mergeCell ref="C32:F32"/>
    <mergeCell ref="E28:F28"/>
    <mergeCell ref="B60:C60"/>
    <mergeCell ref="B62:F62"/>
    <mergeCell ref="B64:F69"/>
    <mergeCell ref="C43:D43"/>
    <mergeCell ref="C44:D44"/>
    <mergeCell ref="C46:D46"/>
    <mergeCell ref="C48:D48"/>
    <mergeCell ref="C49:D49"/>
    <mergeCell ref="B52:F52"/>
    <mergeCell ref="C45:D45"/>
    <mergeCell ref="C47:D47"/>
    <mergeCell ref="B55:D55"/>
    <mergeCell ref="F55:F56"/>
    <mergeCell ref="C42:D42"/>
    <mergeCell ref="E34:F34"/>
    <mergeCell ref="B36:F36"/>
    <mergeCell ref="C38:D38"/>
    <mergeCell ref="C39:D39"/>
    <mergeCell ref="C40:D40"/>
    <mergeCell ref="C41:D41"/>
  </mergeCells>
  <conditionalFormatting sqref="E38:E44">
    <cfRule type="expression" dxfId="3" priority="6">
      <formula>$F38=TRUE</formula>
    </cfRule>
  </conditionalFormatting>
  <conditionalFormatting sqref="E49">
    <cfRule type="cellIs" dxfId="2" priority="5" operator="between">
      <formula>0</formula>
      <formula>0</formula>
    </cfRule>
  </conditionalFormatting>
  <conditionalFormatting sqref="D16:F16">
    <cfRule type="cellIs" dxfId="1" priority="1" operator="notBetween">
      <formula>$D$15</formula>
      <formula>$F$15</formula>
    </cfRule>
    <cfRule type="cellIs" dxfId="0" priority="2" operator="between">
      <formula>$D$15</formula>
      <formula>$F$15</formula>
    </cfRule>
  </conditionalFormatting>
  <dataValidations count="2">
    <dataValidation type="list" allowBlank="1" showInputMessage="1" showErrorMessage="1" sqref="D28:D31 D23 D20:D21 O1:O4 D19 E38:E44" xr:uid="{3D5D67AA-24B0-40B8-80AC-A43A2D0A8944}">
      <formula1>$O$3:$O$4</formula1>
    </dataValidation>
    <dataValidation type="list" allowBlank="1" showInputMessage="1" showErrorMessage="1" sqref="D22" xr:uid="{7B7E323E-CB78-4B5E-99D3-95E37FA172A9}">
      <formula1>$O$6:$O$8</formula1>
    </dataValidation>
  </dataValidations>
  <pageMargins left="0.25" right="0.25" top="0.75" bottom="0.75" header="0.3" footer="0.3"/>
  <pageSetup paperSize="3" scale="94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38" r:id="rId4" name="Casilla 1">
              <controlPr defaultSize="0" autoFill="0" autoLine="0" autoPict="0">
                <anchor moveWithCells="1">
                  <from>
                    <xdr:col>4</xdr:col>
                    <xdr:colOff>219075</xdr:colOff>
                    <xdr:row>38</xdr:row>
                    <xdr:rowOff>723900</xdr:rowOff>
                  </from>
                  <to>
                    <xdr:col>4</xdr:col>
                    <xdr:colOff>476250</xdr:colOff>
                    <xdr:row>40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5" name="Check Box 4">
              <controlPr defaultSize="0" autoFill="0" autoLine="0" autoPict="0">
                <anchor moveWithCells="1">
                  <from>
                    <xdr:col>4</xdr:col>
                    <xdr:colOff>238125</xdr:colOff>
                    <xdr:row>40</xdr:row>
                    <xdr:rowOff>123825</xdr:rowOff>
                  </from>
                  <to>
                    <xdr:col>4</xdr:col>
                    <xdr:colOff>485775</xdr:colOff>
                    <xdr:row>40</xdr:row>
                    <xdr:rowOff>723900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6" name="Check Box 5">
              <controlPr defaultSize="0" autoFill="0" autoLine="0" autoPict="0">
                <anchor moveWithCells="1">
                  <from>
                    <xdr:col>4</xdr:col>
                    <xdr:colOff>200025</xdr:colOff>
                    <xdr:row>40</xdr:row>
                    <xdr:rowOff>971550</xdr:rowOff>
                  </from>
                  <to>
                    <xdr:col>4</xdr:col>
                    <xdr:colOff>447675</xdr:colOff>
                    <xdr:row>42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7" name="Check Box 6">
              <controlPr defaultSize="0" autoFill="0" autoLine="0" autoPict="0">
                <anchor moveWithCells="1">
                  <from>
                    <xdr:col>4</xdr:col>
                    <xdr:colOff>238125</xdr:colOff>
                    <xdr:row>43</xdr:row>
                    <xdr:rowOff>66675</xdr:rowOff>
                  </from>
                  <to>
                    <xdr:col>4</xdr:col>
                    <xdr:colOff>485775</xdr:colOff>
                    <xdr:row>43</xdr:row>
                    <xdr:rowOff>666750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8" name="Check Box 7">
              <controlPr defaultSize="0" autoFill="0" autoLine="0" autoPict="0">
                <anchor moveWithCells="1">
                  <from>
                    <xdr:col>4</xdr:col>
                    <xdr:colOff>238125</xdr:colOff>
                    <xdr:row>38</xdr:row>
                    <xdr:rowOff>123825</xdr:rowOff>
                  </from>
                  <to>
                    <xdr:col>4</xdr:col>
                    <xdr:colOff>485775</xdr:colOff>
                    <xdr:row>38</xdr:row>
                    <xdr:rowOff>733425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9" name="Check Box 23">
              <controlPr defaultSize="0" autoFill="0" autoLine="0" autoPict="0">
                <anchor moveWithCells="1">
                  <from>
                    <xdr:col>4</xdr:col>
                    <xdr:colOff>190500</xdr:colOff>
                    <xdr:row>41</xdr:row>
                    <xdr:rowOff>504825</xdr:rowOff>
                  </from>
                  <to>
                    <xdr:col>4</xdr:col>
                    <xdr:colOff>438150</xdr:colOff>
                    <xdr:row>43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10" name="Check Box 3">
              <controlPr defaultSize="0" autoFill="0" autoLine="0" autoPict="0">
                <anchor moveWithCells="1">
                  <from>
                    <xdr:col>4</xdr:col>
                    <xdr:colOff>257175</xdr:colOff>
                    <xdr:row>37</xdr:row>
                    <xdr:rowOff>47625</xdr:rowOff>
                  </from>
                  <to>
                    <xdr:col>4</xdr:col>
                    <xdr:colOff>504825</xdr:colOff>
                    <xdr:row>37</xdr:row>
                    <xdr:rowOff>647700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8A81-6393-4461-9E57-77DEA6F37128}">
  <sheetPr codeName="Hoja3"/>
  <dimension ref="A1:AA77"/>
  <sheetViews>
    <sheetView workbookViewId="0">
      <selection activeCell="AD26" sqref="AD26"/>
    </sheetView>
  </sheetViews>
  <sheetFormatPr baseColWidth="10" defaultRowHeight="15"/>
  <cols>
    <col min="1" max="1" width="3.140625" customWidth="1"/>
    <col min="2" max="2" width="3" customWidth="1"/>
    <col min="3" max="3" width="3.28515625" customWidth="1"/>
    <col min="4" max="4" width="7.28515625" customWidth="1"/>
    <col min="5" max="5" width="6" customWidth="1"/>
    <col min="6" max="6" width="4.7109375" customWidth="1"/>
    <col min="7" max="7" width="2.140625" customWidth="1"/>
    <col min="8" max="8" width="7.28515625" customWidth="1"/>
    <col min="9" max="9" width="3.7109375" customWidth="1"/>
    <col min="10" max="11" width="2.7109375" customWidth="1"/>
    <col min="12" max="12" width="2.140625" customWidth="1"/>
    <col min="13" max="13" width="5.28515625" customWidth="1"/>
    <col min="14" max="14" width="2.42578125" customWidth="1"/>
    <col min="15" max="15" width="2.7109375" customWidth="1"/>
    <col min="16" max="16" width="5.42578125" customWidth="1"/>
    <col min="17" max="17" width="8.28515625" customWidth="1"/>
    <col min="18" max="18" width="4.42578125" customWidth="1"/>
    <col min="19" max="19" width="3.42578125" customWidth="1"/>
    <col min="20" max="20" width="15.140625" bestFit="1" customWidth="1"/>
    <col min="21" max="21" width="8.85546875" customWidth="1"/>
    <col min="22" max="22" width="5.42578125" customWidth="1"/>
    <col min="23" max="23" width="3.5703125" customWidth="1"/>
    <col min="24" max="24" width="3" customWidth="1"/>
    <col min="25" max="25" width="3.7109375" customWidth="1"/>
    <col min="26" max="26" width="2.140625" customWidth="1"/>
    <col min="27" max="27" width="2.7109375" customWidth="1"/>
    <col min="28" max="28" width="5.28515625" customWidth="1"/>
  </cols>
  <sheetData>
    <row r="1" spans="1:27">
      <c r="A1" s="99"/>
      <c r="B1" s="100"/>
      <c r="C1" s="100"/>
      <c r="D1" s="100"/>
      <c r="E1" s="100"/>
      <c r="F1" s="239" t="s">
        <v>77</v>
      </c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</row>
    <row r="2" spans="1:27">
      <c r="A2" s="101"/>
      <c r="B2" s="102"/>
      <c r="C2" s="102"/>
      <c r="D2" s="102"/>
      <c r="E2" s="102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</row>
    <row r="3" spans="1:27">
      <c r="A3" s="101"/>
      <c r="B3" s="102"/>
      <c r="C3" s="102"/>
      <c r="D3" s="102"/>
      <c r="E3" s="102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</row>
    <row r="4" spans="1:27">
      <c r="A4" s="103"/>
      <c r="B4" s="104"/>
      <c r="C4" s="104"/>
      <c r="D4" s="104"/>
      <c r="E4" s="104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</row>
    <row r="5" spans="1:27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</row>
    <row r="6" spans="1:27">
      <c r="A6" s="105"/>
      <c r="B6" s="241" t="s">
        <v>78</v>
      </c>
      <c r="C6" s="241"/>
      <c r="D6" s="241"/>
      <c r="E6" s="241"/>
      <c r="F6" s="106"/>
      <c r="G6" s="107"/>
      <c r="H6" s="238" t="str">
        <f>FORMATO_LIQUIDACION!B8</f>
        <v>ksk4</v>
      </c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105"/>
      <c r="X6" s="105"/>
      <c r="Y6" s="105"/>
      <c r="Z6" s="105"/>
      <c r="AA6" s="105"/>
    </row>
    <row r="7" spans="1:27">
      <c r="A7" s="105"/>
      <c r="B7" s="105"/>
      <c r="C7" s="108"/>
      <c r="D7" s="108"/>
      <c r="E7" s="108"/>
      <c r="F7" s="108"/>
      <c r="G7" s="107"/>
      <c r="H7" s="107"/>
      <c r="I7" s="105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5"/>
      <c r="X7" s="105"/>
      <c r="Y7" s="105"/>
      <c r="Z7" s="105"/>
      <c r="AA7" s="105"/>
    </row>
    <row r="8" spans="1:27">
      <c r="A8" s="105"/>
      <c r="B8" s="237" t="s">
        <v>1</v>
      </c>
      <c r="C8" s="237"/>
      <c r="D8" s="237"/>
      <c r="E8" s="237"/>
      <c r="F8" s="111"/>
      <c r="G8" s="107"/>
      <c r="H8" s="238">
        <f>FORMATO_LIQUIDACION!B4</f>
        <v>123456</v>
      </c>
      <c r="I8" s="238"/>
      <c r="J8" s="238"/>
      <c r="K8" s="238"/>
      <c r="L8" s="238"/>
      <c r="M8" s="238"/>
      <c r="N8" s="238"/>
      <c r="O8" s="238"/>
      <c r="P8" s="238"/>
      <c r="Q8" s="238"/>
      <c r="R8" s="238"/>
      <c r="S8" s="238"/>
      <c r="T8" s="238"/>
      <c r="U8" s="238"/>
      <c r="V8" s="238"/>
      <c r="W8" s="105"/>
      <c r="X8" s="105"/>
      <c r="Y8" s="105"/>
      <c r="Z8" s="105"/>
      <c r="AA8" s="105"/>
    </row>
    <row r="9" spans="1:27">
      <c r="A9" s="105"/>
      <c r="B9" s="105"/>
      <c r="C9" s="237"/>
      <c r="D9" s="237"/>
      <c r="E9" s="237"/>
      <c r="F9" s="111"/>
      <c r="G9" s="107"/>
      <c r="H9" s="107"/>
      <c r="I9" s="105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5"/>
      <c r="X9" s="105"/>
      <c r="Y9" s="105"/>
      <c r="Z9" s="105"/>
      <c r="AA9" s="105"/>
    </row>
    <row r="10" spans="1:27">
      <c r="A10" s="105"/>
      <c r="B10" s="237" t="s">
        <v>79</v>
      </c>
      <c r="C10" s="237"/>
      <c r="D10" s="237"/>
      <c r="E10" s="237"/>
      <c r="F10" s="111"/>
      <c r="G10" s="107"/>
      <c r="H10" s="238" t="s">
        <v>80</v>
      </c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38"/>
      <c r="T10" s="238"/>
      <c r="U10" s="238"/>
      <c r="V10" s="238"/>
      <c r="W10" s="105"/>
      <c r="X10" s="105"/>
      <c r="Y10" s="105"/>
      <c r="Z10" s="105"/>
      <c r="AA10" s="105"/>
    </row>
    <row r="11" spans="1:27">
      <c r="A11" s="105"/>
      <c r="B11" s="105"/>
      <c r="C11" s="237"/>
      <c r="D11" s="237"/>
      <c r="E11" s="237"/>
      <c r="F11" s="111"/>
      <c r="G11" s="107"/>
      <c r="H11" s="107"/>
      <c r="I11" s="105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5"/>
      <c r="X11" s="105"/>
      <c r="Y11" s="105"/>
      <c r="Z11" s="105"/>
      <c r="AA11" s="105"/>
    </row>
    <row r="12" spans="1:27">
      <c r="A12" s="105"/>
      <c r="B12" s="237" t="s">
        <v>2</v>
      </c>
      <c r="C12" s="237"/>
      <c r="D12" s="237"/>
      <c r="E12" s="237"/>
      <c r="F12" s="110"/>
      <c r="G12" s="107"/>
      <c r="H12" s="238">
        <f>FORMATO_LIQUIDACION!B6</f>
        <v>1234656</v>
      </c>
      <c r="I12" s="238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38"/>
      <c r="U12" s="238"/>
      <c r="V12" s="238"/>
      <c r="W12" s="105"/>
      <c r="X12" s="105"/>
      <c r="Y12" s="105"/>
      <c r="Z12" s="105"/>
      <c r="AA12" s="105"/>
    </row>
    <row r="13" spans="1:27">
      <c r="A13" s="105"/>
      <c r="B13" s="105"/>
      <c r="C13" s="237"/>
      <c r="D13" s="237"/>
      <c r="E13" s="237"/>
      <c r="F13" s="110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</row>
    <row r="14" spans="1:27" ht="14.45" customHeight="1">
      <c r="A14" s="105"/>
      <c r="B14" s="105"/>
      <c r="C14" s="199" t="s">
        <v>81</v>
      </c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05"/>
      <c r="Z14" s="105"/>
      <c r="AA14" s="105"/>
    </row>
    <row r="15" spans="1:27" ht="14.45" customHeight="1">
      <c r="A15" s="105"/>
      <c r="B15" s="105"/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05"/>
      <c r="Z15" s="105"/>
      <c r="AA15" s="105"/>
    </row>
    <row r="16" spans="1:27" ht="14.45" customHeight="1">
      <c r="A16" s="105"/>
      <c r="B16" s="105"/>
      <c r="C16" s="105"/>
      <c r="D16" s="105"/>
      <c r="E16" s="105"/>
      <c r="F16" s="105"/>
      <c r="G16" s="105"/>
      <c r="H16" s="112"/>
      <c r="I16" s="105"/>
      <c r="J16" s="200" t="s">
        <v>82</v>
      </c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105"/>
      <c r="V16" s="105"/>
      <c r="W16" s="105"/>
      <c r="X16" s="105"/>
      <c r="Y16" s="105"/>
      <c r="Z16" s="105"/>
      <c r="AA16" s="105"/>
    </row>
    <row r="17" spans="1:27">
      <c r="A17" s="105"/>
      <c r="B17" s="105"/>
      <c r="C17" s="198" t="s">
        <v>83</v>
      </c>
      <c r="D17" s="198"/>
      <c r="E17" s="198"/>
      <c r="F17" s="198"/>
      <c r="G17" s="105"/>
      <c r="H17" s="114"/>
      <c r="I17" s="105"/>
      <c r="J17" s="229" t="str">
        <f>'FORMATO-CHECK-LIST'!E28</f>
        <v>MOTOR Y CO</v>
      </c>
      <c r="K17" s="230"/>
      <c r="L17" s="230"/>
      <c r="M17" s="230"/>
      <c r="N17" s="230"/>
      <c r="O17" s="230"/>
      <c r="P17" s="230"/>
      <c r="Q17" s="230"/>
      <c r="R17" s="230"/>
      <c r="S17" s="230"/>
      <c r="T17" s="230"/>
      <c r="U17" s="115"/>
      <c r="V17" s="115"/>
      <c r="W17" s="115"/>
      <c r="X17" s="115"/>
      <c r="Y17" s="105"/>
      <c r="Z17" s="105"/>
      <c r="AA17" s="105"/>
    </row>
    <row r="18" spans="1:27">
      <c r="A18" s="105"/>
      <c r="B18" s="105"/>
      <c r="C18" s="105"/>
      <c r="D18" s="116"/>
      <c r="E18" s="105"/>
      <c r="F18" s="105"/>
      <c r="G18" s="105"/>
      <c r="H18" s="105"/>
      <c r="I18" s="105"/>
      <c r="J18" s="109"/>
      <c r="K18" s="109"/>
      <c r="L18" s="109"/>
      <c r="M18" s="109"/>
      <c r="N18" s="109"/>
      <c r="O18" s="109"/>
      <c r="P18" s="109"/>
      <c r="Q18" s="109"/>
      <c r="R18" s="109"/>
      <c r="S18" s="105"/>
      <c r="T18" s="105"/>
      <c r="U18" s="105"/>
      <c r="V18" s="105"/>
      <c r="W18" s="105"/>
      <c r="X18" s="105"/>
      <c r="Y18" s="105"/>
      <c r="Z18" s="105"/>
      <c r="AA18" s="105"/>
    </row>
    <row r="19" spans="1:27">
      <c r="A19" s="105"/>
      <c r="B19" s="105"/>
      <c r="C19" s="198" t="s">
        <v>84</v>
      </c>
      <c r="D19" s="198"/>
      <c r="E19" s="198"/>
      <c r="F19" s="198"/>
      <c r="G19" s="105"/>
      <c r="H19" s="114"/>
      <c r="I19" s="105"/>
      <c r="J19" s="231">
        <v>1</v>
      </c>
      <c r="K19" s="232"/>
      <c r="L19" s="232"/>
      <c r="M19" s="232"/>
      <c r="N19" s="232"/>
      <c r="O19" s="232"/>
      <c r="P19" s="232"/>
      <c r="Q19" s="232"/>
      <c r="R19" s="232"/>
      <c r="S19" s="232"/>
      <c r="T19" s="233"/>
      <c r="U19" s="105"/>
      <c r="V19" s="105"/>
      <c r="W19" s="105"/>
      <c r="X19" s="105"/>
      <c r="Y19" s="105"/>
      <c r="Z19" s="105"/>
      <c r="AA19" s="105"/>
    </row>
    <row r="20" spans="1:27">
      <c r="A20" s="105"/>
      <c r="B20" s="105"/>
      <c r="C20" s="105"/>
      <c r="D20" s="116"/>
      <c r="E20" s="105"/>
      <c r="F20" s="105"/>
      <c r="G20" s="117"/>
      <c r="H20" s="105"/>
      <c r="I20" s="105"/>
      <c r="J20" s="234"/>
      <c r="K20" s="235"/>
      <c r="L20" s="235"/>
      <c r="M20" s="235"/>
      <c r="N20" s="235"/>
      <c r="O20" s="235"/>
      <c r="P20" s="235"/>
      <c r="Q20" s="235"/>
      <c r="R20" s="235"/>
      <c r="S20" s="235"/>
      <c r="T20" s="236"/>
      <c r="U20" s="105"/>
      <c r="V20" s="105"/>
      <c r="W20" s="105"/>
      <c r="X20" s="105"/>
      <c r="Y20" s="105"/>
      <c r="Z20" s="105"/>
      <c r="AA20" s="105"/>
    </row>
    <row r="21" spans="1:27">
      <c r="A21" s="105"/>
      <c r="B21" s="105"/>
      <c r="C21" s="105"/>
      <c r="D21" s="116"/>
      <c r="E21" s="105"/>
      <c r="F21" s="105"/>
      <c r="G21" s="117"/>
      <c r="H21" s="105"/>
      <c r="I21" s="105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05"/>
      <c r="V21" s="105"/>
      <c r="W21" s="105"/>
      <c r="X21" s="105"/>
      <c r="Y21" s="105"/>
      <c r="Z21" s="105"/>
      <c r="AA21" s="105"/>
    </row>
    <row r="22" spans="1:27">
      <c r="A22" s="105"/>
      <c r="B22" s="105"/>
      <c r="C22" s="198" t="s">
        <v>85</v>
      </c>
      <c r="D22" s="198"/>
      <c r="E22" s="198"/>
      <c r="F22" s="198"/>
      <c r="G22" s="105"/>
      <c r="H22" s="114"/>
      <c r="I22" s="105"/>
      <c r="J22" s="223" t="s">
        <v>86</v>
      </c>
      <c r="K22" s="224"/>
      <c r="L22" s="224"/>
      <c r="M22" s="224"/>
      <c r="N22" s="224"/>
      <c r="O22" s="224"/>
      <c r="P22" s="224"/>
      <c r="Q22" s="224"/>
      <c r="R22" s="224"/>
      <c r="S22" s="224"/>
      <c r="T22" s="225"/>
      <c r="U22" s="105"/>
      <c r="V22" s="105"/>
      <c r="W22" s="105"/>
      <c r="X22" s="105"/>
      <c r="Y22" s="105"/>
      <c r="Z22" s="105"/>
      <c r="AA22" s="105"/>
    </row>
    <row r="23" spans="1:27">
      <c r="A23" s="105"/>
      <c r="B23" s="105"/>
      <c r="C23" s="113"/>
      <c r="D23" s="113"/>
      <c r="E23" s="113"/>
      <c r="F23" s="113"/>
      <c r="G23" s="105"/>
      <c r="H23" s="114"/>
      <c r="I23" s="105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05"/>
      <c r="V23" s="105"/>
      <c r="W23" s="105"/>
      <c r="X23" s="105"/>
      <c r="Y23" s="105"/>
      <c r="Z23" s="105"/>
      <c r="AA23" s="105"/>
    </row>
    <row r="24" spans="1:27">
      <c r="A24" s="105"/>
      <c r="B24" s="105"/>
      <c r="C24" s="198" t="s">
        <v>87</v>
      </c>
      <c r="D24" s="198"/>
      <c r="E24" s="198"/>
      <c r="F24" s="198"/>
      <c r="G24" s="105"/>
      <c r="H24" s="114"/>
      <c r="I24" s="105"/>
      <c r="J24" s="223" t="s">
        <v>86</v>
      </c>
      <c r="K24" s="224"/>
      <c r="L24" s="224"/>
      <c r="M24" s="224"/>
      <c r="N24" s="224"/>
      <c r="O24" s="224"/>
      <c r="P24" s="224"/>
      <c r="Q24" s="224"/>
      <c r="R24" s="224"/>
      <c r="S24" s="224"/>
      <c r="T24" s="225"/>
      <c r="U24" s="105"/>
      <c r="V24" s="105"/>
      <c r="W24" s="105"/>
      <c r="X24" s="105"/>
      <c r="Y24" s="105"/>
      <c r="Z24" s="105"/>
      <c r="AA24" s="105"/>
    </row>
    <row r="25" spans="1:27">
      <c r="A25" s="105"/>
      <c r="B25" s="105"/>
      <c r="C25" s="105"/>
      <c r="D25" s="116"/>
      <c r="E25" s="105"/>
      <c r="F25" s="105"/>
      <c r="G25" s="117"/>
      <c r="H25" s="105"/>
      <c r="I25" s="105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05"/>
      <c r="V25" s="105"/>
      <c r="W25" s="105"/>
      <c r="X25" s="105"/>
      <c r="Y25" s="105"/>
      <c r="Z25" s="105"/>
      <c r="AA25" s="105"/>
    </row>
    <row r="26" spans="1:27">
      <c r="A26" s="105"/>
      <c r="B26" s="105"/>
      <c r="C26" s="198" t="s">
        <v>88</v>
      </c>
      <c r="D26" s="198"/>
      <c r="E26" s="198"/>
      <c r="F26" s="198"/>
      <c r="G26" s="198"/>
      <c r="H26" s="105"/>
      <c r="I26" s="105"/>
      <c r="J26" s="226"/>
      <c r="K26" s="227"/>
      <c r="L26" s="227"/>
      <c r="M26" s="227"/>
      <c r="N26" s="227"/>
      <c r="O26" s="227"/>
      <c r="P26" s="227"/>
      <c r="Q26" s="227"/>
      <c r="R26" s="227"/>
      <c r="S26" s="227"/>
      <c r="T26" s="228"/>
      <c r="U26" s="105"/>
      <c r="V26" s="105"/>
      <c r="W26" s="105"/>
      <c r="X26" s="105"/>
      <c r="Y26" s="105"/>
      <c r="Z26" s="105"/>
      <c r="AA26" s="118"/>
    </row>
    <row r="27" spans="1:27">
      <c r="A27" s="105"/>
      <c r="B27" s="105"/>
      <c r="C27" s="113"/>
      <c r="D27" s="113"/>
      <c r="E27" s="113"/>
      <c r="F27" s="113"/>
      <c r="G27" s="113"/>
      <c r="H27" s="105"/>
      <c r="I27" s="105"/>
      <c r="J27" s="118"/>
      <c r="K27" s="118"/>
      <c r="L27" s="118"/>
      <c r="M27" s="109"/>
      <c r="N27" s="118"/>
      <c r="O27" s="118"/>
      <c r="P27" s="118"/>
      <c r="Q27" s="118"/>
      <c r="R27" s="118"/>
      <c r="S27" s="118"/>
      <c r="T27" s="118"/>
      <c r="U27" s="105"/>
      <c r="V27" s="105"/>
      <c r="W27" s="105"/>
      <c r="X27" s="105"/>
      <c r="Y27" s="105"/>
      <c r="Z27" s="105"/>
      <c r="AA27" s="105"/>
    </row>
    <row r="28" spans="1:27">
      <c r="A28" s="105"/>
      <c r="B28" s="105"/>
      <c r="C28" s="105"/>
      <c r="D28" s="116"/>
      <c r="E28" s="105"/>
      <c r="F28" s="105"/>
      <c r="G28" s="105"/>
      <c r="H28" s="105"/>
      <c r="I28" s="105"/>
      <c r="J28" s="109"/>
      <c r="K28" s="109"/>
      <c r="L28" s="109"/>
      <c r="M28" s="109"/>
      <c r="N28" s="119"/>
      <c r="O28" s="109"/>
      <c r="P28" s="109"/>
      <c r="Q28" s="109"/>
      <c r="R28" s="109"/>
      <c r="S28" s="105"/>
      <c r="T28" s="105"/>
      <c r="U28" s="105"/>
      <c r="V28" s="105"/>
      <c r="W28" s="105"/>
      <c r="X28" s="105"/>
      <c r="Y28" s="105"/>
      <c r="Z28" s="105"/>
      <c r="AA28" s="105"/>
    </row>
    <row r="29" spans="1:27">
      <c r="A29" s="105"/>
      <c r="B29" s="105"/>
      <c r="C29" s="198" t="s">
        <v>89</v>
      </c>
      <c r="D29" s="198"/>
      <c r="E29" s="198"/>
      <c r="F29" s="198"/>
      <c r="G29" s="105"/>
      <c r="H29" s="105"/>
      <c r="I29" s="120"/>
      <c r="J29" s="209"/>
      <c r="K29" s="210"/>
      <c r="L29" s="210"/>
      <c r="M29" s="210"/>
      <c r="N29" s="210"/>
      <c r="O29" s="210"/>
      <c r="P29" s="210"/>
      <c r="Q29" s="210"/>
      <c r="R29" s="210"/>
      <c r="S29" s="210"/>
      <c r="T29" s="211"/>
      <c r="U29" s="105"/>
      <c r="V29" s="105"/>
      <c r="W29" s="105"/>
      <c r="X29" s="105"/>
      <c r="Y29" s="105"/>
      <c r="Z29" s="105"/>
      <c r="AA29" s="105"/>
    </row>
    <row r="30" spans="1:27" ht="48.6" customHeight="1">
      <c r="A30" s="105"/>
      <c r="B30" s="105"/>
      <c r="C30" s="198"/>
      <c r="D30" s="198"/>
      <c r="E30" s="198"/>
      <c r="F30" s="198"/>
      <c r="G30" s="105"/>
      <c r="H30" s="105"/>
      <c r="I30" s="105"/>
      <c r="J30" s="212"/>
      <c r="K30" s="213"/>
      <c r="L30" s="213"/>
      <c r="M30" s="213"/>
      <c r="N30" s="213"/>
      <c r="O30" s="213"/>
      <c r="P30" s="213"/>
      <c r="Q30" s="213"/>
      <c r="R30" s="213"/>
      <c r="S30" s="213"/>
      <c r="T30" s="214"/>
      <c r="U30" s="105"/>
      <c r="V30" s="105"/>
      <c r="W30" s="105"/>
      <c r="X30" s="105"/>
      <c r="Y30" s="105"/>
      <c r="Z30" s="105"/>
      <c r="AA30" s="105"/>
    </row>
    <row r="31" spans="1:27">
      <c r="A31" s="105"/>
      <c r="B31" s="105"/>
      <c r="C31" s="105"/>
      <c r="D31" s="120"/>
      <c r="E31" s="120"/>
      <c r="F31" s="120"/>
      <c r="G31" s="120"/>
      <c r="H31" s="120"/>
      <c r="I31" s="120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</row>
    <row r="32" spans="1:27">
      <c r="A32" s="105"/>
      <c r="B32" s="105"/>
      <c r="C32" s="198" t="s">
        <v>90</v>
      </c>
      <c r="D32" s="198"/>
      <c r="E32" s="198"/>
      <c r="F32" s="198"/>
      <c r="G32" s="120"/>
      <c r="H32" s="120"/>
      <c r="I32" s="120"/>
      <c r="J32" s="215"/>
      <c r="K32" s="216"/>
      <c r="L32" s="216"/>
      <c r="M32" s="216"/>
      <c r="N32" s="216"/>
      <c r="O32" s="216"/>
      <c r="P32" s="216"/>
      <c r="Q32" s="216"/>
      <c r="R32" s="216"/>
      <c r="S32" s="216"/>
      <c r="T32" s="217"/>
      <c r="U32" s="105"/>
      <c r="V32" s="105"/>
      <c r="W32" s="105"/>
      <c r="X32" s="105"/>
      <c r="Y32" s="105"/>
      <c r="Z32" s="105"/>
      <c r="AA32" s="105"/>
    </row>
    <row r="33" spans="1:27">
      <c r="A33" s="105"/>
      <c r="B33" s="105"/>
      <c r="C33" s="198"/>
      <c r="D33" s="198"/>
      <c r="E33" s="198"/>
      <c r="F33" s="198"/>
      <c r="G33" s="120"/>
      <c r="H33" s="120"/>
      <c r="I33" s="120"/>
      <c r="J33" s="218"/>
      <c r="K33" s="219"/>
      <c r="L33" s="219"/>
      <c r="M33" s="219"/>
      <c r="N33" s="219"/>
      <c r="O33" s="219"/>
      <c r="P33" s="219"/>
      <c r="Q33" s="219"/>
      <c r="R33" s="219"/>
      <c r="S33" s="219"/>
      <c r="T33" s="220"/>
      <c r="U33" s="105"/>
      <c r="V33" s="105"/>
      <c r="W33" s="105"/>
      <c r="X33" s="105"/>
      <c r="Y33" s="105"/>
      <c r="Z33" s="105"/>
      <c r="AA33" s="105"/>
    </row>
    <row r="34" spans="1:27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</row>
    <row r="35" spans="1:27">
      <c r="A35" s="105"/>
      <c r="B35" s="105"/>
      <c r="C35" s="221" t="s">
        <v>91</v>
      </c>
      <c r="D35" s="222"/>
      <c r="E35" s="222"/>
      <c r="F35" s="222"/>
      <c r="G35" s="105"/>
      <c r="H35" s="105"/>
      <c r="I35" s="121"/>
      <c r="J35" s="122" t="s">
        <v>92</v>
      </c>
      <c r="K35" s="109"/>
      <c r="L35" s="123" t="b">
        <v>0</v>
      </c>
      <c r="M35" s="109"/>
      <c r="N35" s="122" t="s">
        <v>93</v>
      </c>
      <c r="O35" s="109"/>
      <c r="P35" s="123" t="b">
        <v>0</v>
      </c>
      <c r="Q35" s="124"/>
      <c r="R35" s="124"/>
      <c r="S35" s="124"/>
      <c r="T35" s="124"/>
      <c r="U35" s="105"/>
      <c r="V35" s="105"/>
      <c r="W35" s="105"/>
      <c r="X35" s="105"/>
      <c r="Y35" s="105"/>
      <c r="Z35" s="105"/>
      <c r="AA35" s="105"/>
    </row>
    <row r="36" spans="1:27">
      <c r="A36" s="105"/>
      <c r="B36" s="105"/>
      <c r="C36" s="105"/>
      <c r="D36" s="105"/>
      <c r="E36" s="105"/>
      <c r="F36" s="105"/>
      <c r="G36" s="105"/>
      <c r="H36" s="105"/>
      <c r="I36" s="105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05"/>
      <c r="V36" s="105"/>
      <c r="W36" s="105"/>
      <c r="X36" s="105"/>
      <c r="Y36" s="105"/>
      <c r="Z36" s="105"/>
      <c r="AA36" s="105"/>
    </row>
    <row r="37" spans="1:27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</row>
    <row r="38" spans="1:27">
      <c r="A38" s="105"/>
      <c r="B38" s="105"/>
      <c r="C38" s="201" t="s">
        <v>94</v>
      </c>
      <c r="D38" s="198"/>
      <c r="E38" s="198"/>
      <c r="F38" s="198"/>
      <c r="G38" s="105"/>
      <c r="H38" s="105"/>
      <c r="I38" s="105"/>
      <c r="J38" s="122" t="s">
        <v>92</v>
      </c>
      <c r="K38" s="109"/>
      <c r="L38" s="123" t="b">
        <v>0</v>
      </c>
      <c r="M38" s="109"/>
      <c r="N38" s="122" t="s">
        <v>93</v>
      </c>
      <c r="O38" s="109"/>
      <c r="P38" s="123" t="b">
        <v>0</v>
      </c>
      <c r="Q38" s="124"/>
      <c r="R38" s="125" t="s">
        <v>95</v>
      </c>
      <c r="S38" s="124"/>
      <c r="T38" s="126">
        <v>0</v>
      </c>
      <c r="U38" s="105"/>
      <c r="V38" s="105"/>
      <c r="W38" s="105"/>
      <c r="X38" s="105"/>
      <c r="Y38" s="105"/>
      <c r="Z38" s="105"/>
      <c r="AA38" s="105"/>
    </row>
    <row r="39" spans="1:27">
      <c r="A39" s="105"/>
      <c r="B39" s="105"/>
      <c r="C39" s="198"/>
      <c r="D39" s="198"/>
      <c r="E39" s="198"/>
      <c r="F39" s="198"/>
      <c r="G39" s="105"/>
      <c r="H39" s="105"/>
      <c r="I39" s="105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05"/>
      <c r="V39" s="105"/>
      <c r="W39" s="105"/>
      <c r="X39" s="105"/>
      <c r="Y39" s="105"/>
      <c r="Z39" s="105"/>
      <c r="AA39" s="105"/>
    </row>
    <row r="40" spans="1:27">
      <c r="A40" s="105"/>
      <c r="B40" s="105"/>
      <c r="C40" s="113"/>
      <c r="D40" s="113"/>
      <c r="E40" s="113"/>
      <c r="F40" s="113"/>
      <c r="G40" s="105"/>
      <c r="H40" s="105"/>
      <c r="I40" s="105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5"/>
      <c r="V40" s="105"/>
      <c r="W40" s="105"/>
      <c r="X40" s="105"/>
      <c r="Y40" s="105"/>
      <c r="Z40" s="105"/>
      <c r="AA40" s="105"/>
    </row>
    <row r="41" spans="1:27">
      <c r="A41" s="105"/>
      <c r="B41" s="105"/>
      <c r="C41" s="201" t="s">
        <v>96</v>
      </c>
      <c r="D41" s="201"/>
      <c r="E41" s="201"/>
      <c r="F41" s="201"/>
      <c r="G41" s="201"/>
      <c r="H41" s="105"/>
      <c r="I41" s="105"/>
      <c r="J41" s="122" t="s">
        <v>92</v>
      </c>
      <c r="K41" s="109"/>
      <c r="L41" s="123" t="b">
        <v>0</v>
      </c>
      <c r="M41" s="109"/>
      <c r="N41" s="122" t="s">
        <v>93</v>
      </c>
      <c r="O41" s="109"/>
      <c r="P41" s="123" t="b">
        <v>0</v>
      </c>
      <c r="Q41" s="109"/>
      <c r="R41" s="109"/>
      <c r="S41" s="109"/>
      <c r="T41" s="109"/>
      <c r="U41" s="105"/>
      <c r="V41" s="105"/>
      <c r="W41" s="105"/>
      <c r="X41" s="105"/>
      <c r="Y41" s="105"/>
      <c r="Z41" s="105"/>
      <c r="AA41" s="105"/>
    </row>
    <row r="42" spans="1:27">
      <c r="A42" s="105"/>
      <c r="B42" s="105"/>
      <c r="C42" s="201"/>
      <c r="D42" s="201"/>
      <c r="E42" s="201"/>
      <c r="F42" s="201"/>
      <c r="G42" s="201"/>
      <c r="H42" s="105"/>
      <c r="I42" s="105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5"/>
      <c r="V42" s="105"/>
      <c r="W42" s="105"/>
      <c r="X42" s="105"/>
      <c r="Y42" s="105"/>
      <c r="Z42" s="105"/>
      <c r="AA42" s="105"/>
    </row>
    <row r="43" spans="1:27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9"/>
      <c r="Y43" s="109"/>
      <c r="Z43" s="105"/>
      <c r="AA43" s="105"/>
    </row>
    <row r="44" spans="1:27">
      <c r="A44" s="105"/>
      <c r="B44" s="105"/>
      <c r="C44" s="201" t="s">
        <v>97</v>
      </c>
      <c r="D44" s="201"/>
      <c r="E44" s="201"/>
      <c r="F44" s="201"/>
      <c r="G44" s="105"/>
      <c r="H44" s="105"/>
      <c r="I44" s="105"/>
      <c r="J44" s="122" t="s">
        <v>92</v>
      </c>
      <c r="K44" s="109"/>
      <c r="L44" s="123" t="b">
        <v>0</v>
      </c>
      <c r="M44" s="109"/>
      <c r="N44" s="122" t="s">
        <v>93</v>
      </c>
      <c r="O44" s="109"/>
      <c r="P44" s="123" t="b">
        <v>0</v>
      </c>
      <c r="Q44" s="105"/>
      <c r="R44" s="125" t="s">
        <v>95</v>
      </c>
      <c r="S44" s="124"/>
      <c r="T44" s="127">
        <f>[1]FORMATO_LIQUIDACION!G27</f>
        <v>95959500</v>
      </c>
      <c r="U44" s="105"/>
      <c r="V44" s="105"/>
      <c r="W44" s="105"/>
      <c r="X44" s="105"/>
      <c r="Y44" s="105"/>
      <c r="Z44" s="105"/>
      <c r="AA44" s="105"/>
    </row>
    <row r="45" spans="1:27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</row>
    <row r="46" spans="1:27" ht="39" customHeight="1">
      <c r="A46" s="105"/>
      <c r="B46" s="105"/>
      <c r="C46" s="201" t="s">
        <v>98</v>
      </c>
      <c r="D46" s="201"/>
      <c r="E46" s="201"/>
      <c r="F46" s="201"/>
      <c r="G46" s="105"/>
      <c r="H46" s="105"/>
      <c r="I46" s="105"/>
      <c r="J46" s="122" t="s">
        <v>92</v>
      </c>
      <c r="K46" s="109"/>
      <c r="L46" s="123" t="b">
        <v>0</v>
      </c>
      <c r="M46" s="109"/>
      <c r="N46" s="122" t="s">
        <v>93</v>
      </c>
      <c r="O46" s="109"/>
      <c r="P46" s="123" t="b">
        <v>0</v>
      </c>
      <c r="Q46" s="105"/>
      <c r="R46" s="125" t="s">
        <v>95</v>
      </c>
      <c r="S46" s="124"/>
      <c r="T46" s="128"/>
      <c r="U46" s="105"/>
      <c r="V46" s="105"/>
      <c r="W46" s="105"/>
      <c r="X46" s="105"/>
      <c r="Y46" s="105"/>
      <c r="Z46" s="105"/>
      <c r="AA46" s="105"/>
    </row>
    <row r="47" spans="1:27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</row>
    <row r="48" spans="1:27">
      <c r="A48" s="105"/>
      <c r="B48" s="105"/>
      <c r="C48" s="198" t="s">
        <v>99</v>
      </c>
      <c r="D48" s="198"/>
      <c r="E48" s="198"/>
      <c r="F48" s="198"/>
      <c r="G48" s="105"/>
      <c r="H48" s="114"/>
      <c r="I48" s="105"/>
      <c r="J48" s="202"/>
      <c r="K48" s="203"/>
      <c r="L48" s="203"/>
      <c r="M48" s="203"/>
      <c r="N48" s="203"/>
      <c r="O48" s="203"/>
      <c r="P48" s="203"/>
      <c r="Q48" s="203"/>
      <c r="R48" s="203"/>
      <c r="S48" s="203"/>
      <c r="T48" s="204"/>
      <c r="U48" s="105"/>
      <c r="V48" s="105"/>
      <c r="W48" s="105"/>
      <c r="X48" s="105"/>
      <c r="Y48" s="105"/>
      <c r="Z48" s="105"/>
      <c r="AA48" s="105"/>
    </row>
    <row r="49" spans="1:27" ht="56.45" customHeight="1">
      <c r="A49" s="105"/>
      <c r="B49" s="105"/>
      <c r="C49" s="198"/>
      <c r="D49" s="198"/>
      <c r="E49" s="198"/>
      <c r="F49" s="198"/>
      <c r="G49" s="105"/>
      <c r="H49" s="105"/>
      <c r="I49" s="105"/>
      <c r="J49" s="205"/>
      <c r="K49" s="206"/>
      <c r="L49" s="206"/>
      <c r="M49" s="206"/>
      <c r="N49" s="206"/>
      <c r="O49" s="206"/>
      <c r="P49" s="206"/>
      <c r="Q49" s="206"/>
      <c r="R49" s="206"/>
      <c r="S49" s="206"/>
      <c r="T49" s="207"/>
      <c r="U49" s="105"/>
      <c r="V49" s="105"/>
      <c r="W49" s="105"/>
      <c r="X49" s="105"/>
      <c r="Y49" s="105"/>
      <c r="Z49" s="105"/>
      <c r="AA49" s="105"/>
    </row>
    <row r="50" spans="1:27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</row>
    <row r="51" spans="1:27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</row>
    <row r="52" spans="1:27">
      <c r="A52" s="105"/>
      <c r="B52" s="124" t="s">
        <v>100</v>
      </c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05"/>
      <c r="Z52" s="105"/>
      <c r="AA52" s="105"/>
    </row>
    <row r="53" spans="1:27">
      <c r="A53" s="105"/>
      <c r="B53" s="208" t="s">
        <v>101</v>
      </c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124"/>
      <c r="W53" s="124"/>
      <c r="X53" s="124"/>
      <c r="Y53" s="105"/>
      <c r="Z53" s="105"/>
      <c r="AA53" s="105"/>
    </row>
    <row r="54" spans="1:27">
      <c r="A54" s="105"/>
      <c r="B54" s="129" t="s">
        <v>102</v>
      </c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05"/>
      <c r="Z54" s="105"/>
      <c r="AA54" s="105"/>
    </row>
    <row r="55" spans="1:27">
      <c r="A55" s="105"/>
      <c r="B55" s="197" t="s">
        <v>103</v>
      </c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24"/>
      <c r="X55" s="124"/>
      <c r="Y55" s="105"/>
      <c r="Z55" s="105"/>
      <c r="AA55" s="105"/>
    </row>
    <row r="56" spans="1:27">
      <c r="A56" s="120"/>
      <c r="B56" s="197"/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24"/>
      <c r="X56" s="124"/>
      <c r="Y56" s="105"/>
      <c r="Z56" s="105"/>
      <c r="AA56" s="105"/>
    </row>
    <row r="57" spans="1:27">
      <c r="A57" s="105"/>
      <c r="B57" s="197" t="s">
        <v>104</v>
      </c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24"/>
      <c r="X57" s="124"/>
      <c r="Y57" s="105"/>
      <c r="Z57" s="105"/>
      <c r="AA57" s="105"/>
    </row>
    <row r="58" spans="1:27">
      <c r="A58" s="105"/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24"/>
      <c r="X58" s="124"/>
      <c r="Y58" s="105"/>
      <c r="Z58" s="105"/>
      <c r="AA58" s="105"/>
    </row>
    <row r="59" spans="1:27">
      <c r="A59" s="105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05"/>
      <c r="Z59" s="105"/>
      <c r="AA59" s="105"/>
    </row>
    <row r="60" spans="1:27">
      <c r="A60" s="105"/>
      <c r="B60" s="197" t="s">
        <v>105</v>
      </c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24"/>
      <c r="X60" s="124"/>
      <c r="Y60" s="105"/>
      <c r="Z60" s="105"/>
      <c r="AA60" s="105"/>
    </row>
    <row r="61" spans="1:27">
      <c r="A61" s="105"/>
      <c r="B61" s="197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24"/>
      <c r="X61" s="124"/>
      <c r="Y61" s="105"/>
      <c r="Z61" s="105"/>
      <c r="AA61" s="105"/>
    </row>
    <row r="62" spans="1:27">
      <c r="A62" s="105"/>
      <c r="B62" s="105"/>
      <c r="C62" s="116"/>
      <c r="D62" s="105"/>
      <c r="E62" s="105"/>
      <c r="F62" s="105"/>
      <c r="G62" s="105"/>
      <c r="H62" s="105"/>
      <c r="I62" s="105"/>
      <c r="J62" s="116"/>
      <c r="K62" s="105"/>
      <c r="L62" s="105"/>
      <c r="M62" s="105"/>
      <c r="N62" s="105"/>
      <c r="O62" s="105"/>
      <c r="P62" s="105"/>
      <c r="Q62" s="105"/>
      <c r="R62" s="105"/>
      <c r="S62" s="198"/>
      <c r="T62" s="198"/>
      <c r="U62" s="198"/>
      <c r="V62" s="198"/>
      <c r="W62" s="198"/>
      <c r="X62" s="198"/>
      <c r="Y62" s="198"/>
      <c r="Z62" s="105"/>
      <c r="AA62" s="105"/>
    </row>
    <row r="63" spans="1:27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</row>
    <row r="64" spans="1:27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</row>
    <row r="65" spans="1:27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</row>
    <row r="66" spans="1:27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</row>
    <row r="67" spans="1:27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</row>
    <row r="68" spans="1:27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</row>
    <row r="69" spans="1:27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</row>
    <row r="70" spans="1:27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</row>
    <row r="71" spans="1:27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</row>
    <row r="72" spans="1:27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</row>
    <row r="73" spans="1:27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</row>
    <row r="74" spans="1:27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</row>
    <row r="75" spans="1:27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</row>
    <row r="76" spans="1:27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</row>
    <row r="77" spans="1:27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</row>
  </sheetData>
  <mergeCells count="40">
    <mergeCell ref="C9:E9"/>
    <mergeCell ref="F1:AA4"/>
    <mergeCell ref="B6:E6"/>
    <mergeCell ref="H6:V6"/>
    <mergeCell ref="B8:E8"/>
    <mergeCell ref="H8:V8"/>
    <mergeCell ref="C17:F17"/>
    <mergeCell ref="J17:T17"/>
    <mergeCell ref="C19:F19"/>
    <mergeCell ref="J19:T20"/>
    <mergeCell ref="B10:E10"/>
    <mergeCell ref="H10:V10"/>
    <mergeCell ref="C11:E11"/>
    <mergeCell ref="B12:E12"/>
    <mergeCell ref="H12:V12"/>
    <mergeCell ref="C13:E13"/>
    <mergeCell ref="C35:F35"/>
    <mergeCell ref="C38:F39"/>
    <mergeCell ref="C22:F22"/>
    <mergeCell ref="J22:T22"/>
    <mergeCell ref="C24:F24"/>
    <mergeCell ref="J24:T24"/>
    <mergeCell ref="C26:G26"/>
    <mergeCell ref="J26:T26"/>
    <mergeCell ref="B55:V56"/>
    <mergeCell ref="B57:V58"/>
    <mergeCell ref="B60:V61"/>
    <mergeCell ref="S62:Y62"/>
    <mergeCell ref="C14:X15"/>
    <mergeCell ref="J16:T16"/>
    <mergeCell ref="C41:G42"/>
    <mergeCell ref="C44:F44"/>
    <mergeCell ref="C46:F46"/>
    <mergeCell ref="C48:F49"/>
    <mergeCell ref="J48:T49"/>
    <mergeCell ref="B53:U53"/>
    <mergeCell ref="C29:F30"/>
    <mergeCell ref="J29:T30"/>
    <mergeCell ref="C32:F33"/>
    <mergeCell ref="J32:T3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FORMATO_LIQUIDACION</vt:lpstr>
      <vt:lpstr>FORMATO-CHECK-LIST</vt:lpstr>
      <vt:lpstr>SALVAMENTO</vt:lpstr>
      <vt:lpstr>'FORMATO-CHECK-LIST'!Área_de_impresión</vt:lpstr>
      <vt:lpstr>'FORMATO-CHECK-LIST'!Parcial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Atencia</dc:creator>
  <cp:lastModifiedBy>Oscar Atencia</cp:lastModifiedBy>
  <cp:lastPrinted>2026-05-13T21:08:12Z</cp:lastPrinted>
  <dcterms:created xsi:type="dcterms:W3CDTF">2026-05-12T19:06:58Z</dcterms:created>
  <dcterms:modified xsi:type="dcterms:W3CDTF">2026-07-08T17:34:38Z</dcterms:modified>
</cp:coreProperties>
</file>