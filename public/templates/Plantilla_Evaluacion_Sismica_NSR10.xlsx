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UARIO\OneDrive\Desktop\"/>
    </mc:Choice>
  </mc:AlternateContent>
  <xr:revisionPtr revIDLastSave="0" documentId="13_ncr:1_{A477F32E-06F8-48FE-8234-B9AACDF4FCBE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Listas" sheetId="3" r:id="rId1"/>
    <sheet name="Portada" sheetId="4" r:id="rId2"/>
    <sheet name="Evaluación" sheetId="1" r:id="rId3"/>
    <sheet name="Dictamen" sheetId="5" r:id="rId4"/>
    <sheet name="Presupuesto" sheetId="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4" l="1"/>
  <c r="A1" i="4"/>
  <c r="C15" i="4"/>
  <c r="C14" i="4"/>
  <c r="C13" i="4"/>
  <c r="C12" i="4"/>
  <c r="C10" i="4"/>
  <c r="C9" i="4"/>
  <c r="C8" i="4"/>
  <c r="C7" i="4"/>
  <c r="C6" i="4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40" i="2" s="1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G26" i="1"/>
  <c r="F26" i="1"/>
  <c r="G25" i="1"/>
  <c r="F25" i="1"/>
  <c r="G24" i="1"/>
  <c r="F24" i="1"/>
  <c r="G23" i="1"/>
  <c r="F23" i="1"/>
  <c r="G22" i="1"/>
  <c r="F22" i="1"/>
  <c r="G21" i="1"/>
  <c r="F21" i="1"/>
  <c r="G20" i="1"/>
  <c r="F20" i="1"/>
  <c r="G19" i="1"/>
  <c r="F19" i="1"/>
  <c r="G18" i="1"/>
  <c r="F18" i="1"/>
  <c r="G17" i="1"/>
  <c r="F17" i="1"/>
  <c r="G16" i="1"/>
  <c r="F16" i="1"/>
  <c r="G15" i="1"/>
  <c r="F15" i="1"/>
  <c r="G14" i="1"/>
  <c r="F14" i="1"/>
  <c r="G13" i="1"/>
  <c r="F13" i="1"/>
  <c r="G12" i="1"/>
  <c r="F12" i="1"/>
  <c r="G11" i="1"/>
  <c r="F11" i="1"/>
  <c r="G10" i="1"/>
  <c r="F10" i="1"/>
  <c r="G9" i="1"/>
  <c r="F9" i="1"/>
  <c r="G8" i="1"/>
  <c r="F8" i="1"/>
  <c r="A15" i="5" l="1" a="1"/>
  <c r="B31" i="1"/>
  <c r="H41" i="2"/>
  <c r="H42" i="2"/>
  <c r="E31" i="1" l="1"/>
  <c r="B33" i="1"/>
  <c r="B34" i="1"/>
  <c r="E6" i="5" s="1"/>
  <c r="B35" i="1"/>
  <c r="G6" i="5" s="1"/>
  <c r="B32" i="1"/>
  <c r="H43" i="2"/>
  <c r="H44" i="2"/>
  <c r="C6" i="5" l="1"/>
  <c r="A9" i="5"/>
  <c r="A23" i="5"/>
  <c r="A6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<sst xmlns="http://schemas.openxmlformats.org/spreadsheetml/2006/main" count="228" uniqueCount="191">
  <si>
    <t>EVALUACIÓN RÁPIDA POST-SISMO – CRITERIO OPERATIVO CON ENFOQUE NSR-10</t>
  </si>
  <si>
    <t>Inmueble / Riesgo</t>
  </si>
  <si>
    <t>Municipio</t>
  </si>
  <si>
    <t>Dirección</t>
  </si>
  <si>
    <t>Fecha inspección</t>
  </si>
  <si>
    <t>Inspector</t>
  </si>
  <si>
    <t>Tipología principal</t>
  </si>
  <si>
    <t>Entorno</t>
  </si>
  <si>
    <t>No. pisos</t>
  </si>
  <si>
    <t>Uso</t>
  </si>
  <si>
    <t>Fecha sismo</t>
  </si>
  <si>
    <t>Componente</t>
  </si>
  <si>
    <t>Código</t>
  </si>
  <si>
    <t>Elemento / condición a evaluar</t>
  </si>
  <si>
    <t>Criterio visual de referencia</t>
  </si>
  <si>
    <t>Estado seleccionado</t>
  </si>
  <si>
    <t>Puntaje</t>
  </si>
  <si>
    <t>¿Requiere intervención?</t>
  </si>
  <si>
    <t>Observación / Evidencia</t>
  </si>
  <si>
    <t>Foto / Ref.</t>
  </si>
  <si>
    <t>Acción sugerida</t>
  </si>
  <si>
    <t>CONDICIÓN GENERAL</t>
  </si>
  <si>
    <t>CG-01</t>
  </si>
  <si>
    <t>Estado global de la edificación</t>
  </si>
  <si>
    <t>Revisar inclinaciones, desplazamientos, separaciones o colapso.</t>
  </si>
  <si>
    <t>COLUMNAS</t>
  </si>
  <si>
    <t>C-01</t>
  </si>
  <si>
    <t>Columnas / elementos verticales</t>
  </si>
  <si>
    <t>Fisuras, grietas diagonales, pérdida de sección, acero expuesto, deformación.</t>
  </si>
  <si>
    <t>VIGAS</t>
  </si>
  <si>
    <t>V-01</t>
  </si>
  <si>
    <t>Vigas principales</t>
  </si>
  <si>
    <t>Grietas, desprendimientos, deformación o falla próxima a apoyos.</t>
  </si>
  <si>
    <t>CONEXIONES</t>
  </si>
  <si>
    <t>CX-01</t>
  </si>
  <si>
    <t>Conexiones viga-columna / uniones</t>
  </si>
  <si>
    <t>Separación, aplastamiento, rotura o pérdida de continuidad.</t>
  </si>
  <si>
    <t>MUROS</t>
  </si>
  <si>
    <t>M-01</t>
  </si>
  <si>
    <t>Muros estructurales o de carga</t>
  </si>
  <si>
    <t>Grietas diagonales/X, inclinación, pérdida de unidades, separación.</t>
  </si>
  <si>
    <t>M-02</t>
  </si>
  <si>
    <t>Muros divisorios / cerramientos</t>
  </si>
  <si>
    <t>Fisuras, grietas, desprendimientos o riesgo de caída.</t>
  </si>
  <si>
    <t>BAHAREQUE</t>
  </si>
  <si>
    <t>B-01</t>
  </si>
  <si>
    <t>Muros de bahareque / entramado</t>
  </si>
  <si>
    <t>Fisuración diagonal, separación de esquinas, pérdida de recubrimiento.</t>
  </si>
  <si>
    <t>B-02</t>
  </si>
  <si>
    <t>Uniones de madera / guadua</t>
  </si>
  <si>
    <t>Rotura, desconexión, deterioro o pérdida de apoyo.</t>
  </si>
  <si>
    <t>CUBIERTA</t>
  </si>
  <si>
    <t>CU-01</t>
  </si>
  <si>
    <t>Cubierta y estructura de soporte</t>
  </si>
  <si>
    <t>Tejas desplazadas, apoyos fallados, deformación o colapso parcial.</t>
  </si>
  <si>
    <t>CIMENTACIÓN</t>
  </si>
  <si>
    <t>CI-01</t>
  </si>
  <si>
    <t>Cimentación y apoyo</t>
  </si>
  <si>
    <t>Asentamiento, desplazamiento o evidencia de pérdida de capacidad.</t>
  </si>
  <si>
    <t>PISOS</t>
  </si>
  <si>
    <t>P-01</t>
  </si>
  <si>
    <t>Pisos / placas</t>
  </si>
  <si>
    <t>Grietas, desniveles, levantamientos o asentamientos.</t>
  </si>
  <si>
    <t>GEOTECNIA</t>
  </si>
  <si>
    <t>G-01</t>
  </si>
  <si>
    <t>Terreno inmediato</t>
  </si>
  <si>
    <t>Grietas, hundimientos, deslizamiento, movimiento de masa.</t>
  </si>
  <si>
    <t>G-02</t>
  </si>
  <si>
    <t>Taludes / laderas próximas</t>
  </si>
  <si>
    <t>Inestabilidad, caída de material o amenaza sobre la edificación.</t>
  </si>
  <si>
    <t>NO ESTRUCTURAL</t>
  </si>
  <si>
    <t>NE-01</t>
  </si>
  <si>
    <t>Fachadas / vidrios / cielorrasos</t>
  </si>
  <si>
    <t>Desprendimientos o elementos con riesgo de caída.</t>
  </si>
  <si>
    <t>NE-02</t>
  </si>
  <si>
    <t>Equipos / tanques / elementos pesados</t>
  </si>
  <si>
    <t>Desplazamiento, volcamiento o pérdida de anclaje.</t>
  </si>
  <si>
    <t>REDES</t>
  </si>
  <si>
    <t>R-01</t>
  </si>
  <si>
    <t>Instalaciones eléctricas</t>
  </si>
  <si>
    <t>Daño visible, cableado expuesto o riesgo eléctrico.</t>
  </si>
  <si>
    <t>R-02</t>
  </si>
  <si>
    <t>Gas</t>
  </si>
  <si>
    <t>Fuga, rotura o indicio de pérdida de estanqueidad.</t>
  </si>
  <si>
    <t>R-03</t>
  </si>
  <si>
    <t>Hidráulicas / sanitarias</t>
  </si>
  <si>
    <t>Roturas, fugas o pérdida funcional.</t>
  </si>
  <si>
    <t>PREEXISTENCIAS</t>
  </si>
  <si>
    <t>PE-01</t>
  </si>
  <si>
    <t>Patologías previas</t>
  </si>
  <si>
    <t>Fisuras antiguas, humedad, corrosión, reparaciones anteriores.</t>
  </si>
  <si>
    <t>CRITERIO FINAL AUTOMÁTICO</t>
  </si>
  <si>
    <t>Indicador</t>
  </si>
  <si>
    <t>Resultado</t>
  </si>
  <si>
    <t>CONCEPTO TÉCNICO PRELIMINAR</t>
  </si>
  <si>
    <t>Puntaje máximo observado</t>
  </si>
  <si>
    <t>Categoría asignada</t>
  </si>
  <si>
    <t>Habitabilidad</t>
  </si>
  <si>
    <t>Urgencia</t>
  </si>
  <si>
    <t>Requiere evacuación</t>
  </si>
  <si>
    <t>Los ítems con intervención pueden trasladarse al módulo PRESUPUESTO para cuantificar reparación, demolición, reposición, apuntalamiento y medidas temporales.</t>
  </si>
  <si>
    <t>PRESUPUESTO DE INTERVENCIÓN / REPARACIÓN POST-SISMO</t>
  </si>
  <si>
    <t>Capítulo</t>
  </si>
  <si>
    <t>Código evaluación</t>
  </si>
  <si>
    <t>Actividad / reparación</t>
  </si>
  <si>
    <t>Unidad</t>
  </si>
  <si>
    <t>Cantidad</t>
  </si>
  <si>
    <t>Valor unitario</t>
  </si>
  <si>
    <t>Valor total</t>
  </si>
  <si>
    <t>Prioridad</t>
  </si>
  <si>
    <t>¿Cubierto / incluido?</t>
  </si>
  <si>
    <t>Observación técnica</t>
  </si>
  <si>
    <t>Fuente / Cotización</t>
  </si>
  <si>
    <t>Subtotal</t>
  </si>
  <si>
    <t>TOTAL ESTIMADO</t>
  </si>
  <si>
    <t>USO: seleccione el código del hallazgo evaluado, describa la actividad necesaria, unidad, cantidad y valor unitario. El total se calcula automáticamente. Los porcentajes de imprevistos, AIU e impuestos son editables.</t>
  </si>
  <si>
    <t>Categoría operativa</t>
  </si>
  <si>
    <t>Unidades</t>
  </si>
  <si>
    <t>Componentes</t>
  </si>
  <si>
    <t>Capítulos</t>
  </si>
  <si>
    <t>Sin daño</t>
  </si>
  <si>
    <t>Nivel 0 - Sin daño</t>
  </si>
  <si>
    <t>Habitable</t>
  </si>
  <si>
    <t>m²</t>
  </si>
  <si>
    <t>Bajo</t>
  </si>
  <si>
    <t>Condición general</t>
  </si>
  <si>
    <t>Medidas temporales</t>
  </si>
  <si>
    <t>Daño leve</t>
  </si>
  <si>
    <t>Nivel 1 - Daño leve</t>
  </si>
  <si>
    <t>m³</t>
  </si>
  <si>
    <t>Medio</t>
  </si>
  <si>
    <t>Columnas</t>
  </si>
  <si>
    <t>Demoliciones</t>
  </si>
  <si>
    <t>Daño moderado</t>
  </si>
  <si>
    <t>Nivel 2 - Daño moderado</t>
  </si>
  <si>
    <t>Habitación restringida</t>
  </si>
  <si>
    <t>ml</t>
  </si>
  <si>
    <t>Alto</t>
  </si>
  <si>
    <t>Vigas</t>
  </si>
  <si>
    <t>Estructura</t>
  </si>
  <si>
    <t>Daño severo</t>
  </si>
  <si>
    <t>Nivel 3 - Daño severo</t>
  </si>
  <si>
    <t>Inhabitable</t>
  </si>
  <si>
    <t>und</t>
  </si>
  <si>
    <t>Crítico</t>
  </si>
  <si>
    <t>Conexiones</t>
  </si>
  <si>
    <t>Mampostería / Bahareque</t>
  </si>
  <si>
    <t>Colapso / peligro inminente</t>
  </si>
  <si>
    <t>Nivel 4 - Colapso / Peligro inminente</t>
  </si>
  <si>
    <t>kg</t>
  </si>
  <si>
    <t>Muros</t>
  </si>
  <si>
    <t>Cubierta</t>
  </si>
  <si>
    <t>No aplica</t>
  </si>
  <si>
    <t>día</t>
  </si>
  <si>
    <t>Bahareque</t>
  </si>
  <si>
    <t>Acabados</t>
  </si>
  <si>
    <t>No inspeccionado</t>
  </si>
  <si>
    <t>gl</t>
  </si>
  <si>
    <t>Redes</t>
  </si>
  <si>
    <t>mes</t>
  </si>
  <si>
    <t>Cimentación</t>
  </si>
  <si>
    <t>Geotecnia</t>
  </si>
  <si>
    <t>otro</t>
  </si>
  <si>
    <t>Pisos</t>
  </si>
  <si>
    <t>Equipos / Anclajes</t>
  </si>
  <si>
    <t>Limpieza / Retiro</t>
  </si>
  <si>
    <t>No estructural</t>
  </si>
  <si>
    <t>Otros</t>
  </si>
  <si>
    <t>Preexistencias</t>
  </si>
  <si>
    <t>MÓDULO DE DESCRIPCIÓN Y DICTAMEN</t>
  </si>
  <si>
    <t>Generación automática a partir de la hoja Evaluación — criterio preliminar sujeto a validación profesional.</t>
  </si>
  <si>
    <t>RESUMEN DE CLASIFICACIÓN</t>
  </si>
  <si>
    <t>Categoría</t>
  </si>
  <si>
    <t>Evacuación</t>
  </si>
  <si>
    <t>DESCRIPCIÓN DEL RIESGO</t>
  </si>
  <si>
    <t>DESCRIPCIÓN DE LOS DAÑOS</t>
  </si>
  <si>
    <t>DICTAMEN PRELIMINAR</t>
  </si>
  <si>
    <t>AIU</t>
  </si>
  <si>
    <t>INFORMACIÓN DETALLADA DE LA INSPECCIÓN</t>
  </si>
  <si>
    <t>MUNICIPIO</t>
  </si>
  <si>
    <t>DIRECCIÓN</t>
  </si>
  <si>
    <t>FECHA DE INSPECCIÓN</t>
  </si>
  <si>
    <t>INSPECTOR</t>
  </si>
  <si>
    <t>TIPOLOGÍA PRINCIPAL</t>
  </si>
  <si>
    <t>ENTORNO</t>
  </si>
  <si>
    <t>NÚMERO DE PISOS</t>
  </si>
  <si>
    <t>USO</t>
  </si>
  <si>
    <t>FECHA DEL SISMO</t>
  </si>
  <si>
    <t>ASEGURADO</t>
  </si>
  <si>
    <t xml:space="preserve">POLIZA </t>
  </si>
  <si>
    <t>VERSIÓN DEL INFORME: EVALUACIÓN  PRELIMINAR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</si>
</sst>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dd/mm/yyyy"/>
  </numFmts>
  <fonts count="8">
    <font>
      <sz val="11"/>
      <name val="Carlito"/>
    </font>
    <font>
      <b/>
      <sz val="11"/>
      <color rgb="FFFFFFFF"/>
      <name val="Carlito"/>
    </font>
    <font>
      <b/>
      <sz val="15"/>
      <color rgb="FFFFFFFF"/>
      <name val="Carlito"/>
    </font>
    <font>
      <b/>
      <sz val="11"/>
      <name val="Carlito"/>
    </font>
    <font>
      <i/>
      <sz val="11"/>
      <name val="Carlito"/>
    </font>
    <font>
      <b/>
      <sz val="12"/>
      <name val="Carlito"/>
    </font>
    <font>
      <sz val="11"/>
      <color theme="1"/>
      <name val="Carlito"/>
    </font>
    <font>
      <i/>
      <sz val="10"/>
      <color rgb="FF666666"/>
      <name val="Carlito"/>
    </font>
  </fonts>
  <fills count="13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9C1C1C"/>
      </patternFill>
    </fill>
    <fill>
      <patternFill patternType="solid">
        <fgColor rgb="FFD9E2F3"/>
      </patternFill>
    </fill>
    <fill>
      <patternFill patternType="solid">
        <fgColor rgb="FF404040"/>
      </patternFill>
    </fill>
    <fill>
      <patternFill patternType="solid">
        <fgColor rgb="FFE7E6E6"/>
      </patternFill>
    </fill>
    <fill>
      <patternFill patternType="solid">
        <fgColor rgb="FFFFF2CC"/>
      </patternFill>
    </fill>
    <fill>
      <patternFill patternType="solid">
        <fgColor rgb="FFD9EAD3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9EAF7"/>
        <bgColor indexed="64"/>
      </patternFill>
    </fill>
    <fill>
      <patternFill patternType="solid">
        <fgColor rgb="FFF3F6F9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1" fillId="5" borderId="0" xfId="0" applyFont="1" applyFill="1" applyAlignment="1">
      <alignment horizontal="center" vertical="center" wrapText="1"/>
    </xf>
    <xf numFmtId="2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0" fontId="3" fillId="0" borderId="0" xfId="0" applyFont="1" applyAlignment="1">
      <alignment vertical="center"/>
    </xf>
    <xf numFmtId="9" fontId="3" fillId="0" borderId="0" xfId="0" applyNumberFormat="1" applyFont="1" applyAlignment="1">
      <alignment vertical="center"/>
    </xf>
    <xf numFmtId="0" fontId="5" fillId="8" borderId="0" xfId="0" applyFont="1" applyFill="1" applyAlignment="1">
      <alignment vertical="center"/>
    </xf>
    <xf numFmtId="164" fontId="5" fillId="8" borderId="0" xfId="0" applyNumberFormat="1" applyFont="1" applyFill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4" fillId="7" borderId="0" xfId="0" applyFont="1" applyFill="1" applyAlignment="1">
      <alignment vertical="center" wrapText="1"/>
    </xf>
    <xf numFmtId="0" fontId="0" fillId="0" borderId="5" xfId="0" applyBorder="1" applyAlignment="1">
      <alignment vertical="center" wrapText="1"/>
    </xf>
    <xf numFmtId="0" fontId="3" fillId="10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65" fontId="0" fillId="0" borderId="1" xfId="0" applyNumberForma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5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vertical="center"/>
    </xf>
    <xf numFmtId="0" fontId="1" fillId="3" borderId="5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vertical="center" wrapText="1"/>
    </xf>
    <xf numFmtId="0" fontId="3" fillId="10" borderId="5" xfId="0" applyFont="1" applyFill="1" applyBorder="1" applyAlignment="1">
      <alignment horizontal="center" vertical="center"/>
    </xf>
    <xf numFmtId="0" fontId="3" fillId="11" borderId="5" xfId="0" applyFont="1" applyFill="1" applyBorder="1" applyAlignment="1">
      <alignment horizontal="center" vertical="center"/>
    </xf>
    <xf numFmtId="0" fontId="0" fillId="12" borderId="5" xfId="0" applyFont="1" applyFill="1" applyBorder="1" applyAlignment="1">
      <alignment vertical="top" wrapText="1"/>
    </xf>
    <xf numFmtId="0" fontId="3" fillId="0" borderId="5" xfId="0" applyFont="1" applyBorder="1" applyAlignment="1">
      <alignment vertical="center" wrapText="1"/>
    </xf>
    <xf numFmtId="0" fontId="1" fillId="5" borderId="5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left" vertical="center"/>
    </xf>
    <xf numFmtId="0" fontId="3" fillId="10" borderId="4" xfId="0" applyFont="1" applyFill="1" applyBorder="1" applyAlignment="1">
      <alignment horizontal="center" vertical="center"/>
    </xf>
    <xf numFmtId="0" fontId="3" fillId="10" borderId="6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14">
    <dxf>
      <font>
        <b/>
        <color rgb="FFFFFFFF"/>
      </font>
      <fill>
        <patternFill patternType="solid">
          <bgColor rgb="FFCC0000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Evaluacion" displayName="TablaEvaluacion" ref="A7:I26" totalsRowShown="0" headerRowDxfId="4">
  <tableColumns count="9">
    <tableColumn id="1" xr3:uid="{00000000-0010-0000-0000-000001000000}" name="Componente" dataDxfId="13"/>
    <tableColumn id="2" xr3:uid="{00000000-0010-0000-0000-000002000000}" name="Código" dataDxfId="12"/>
    <tableColumn id="3" xr3:uid="{00000000-0010-0000-0000-000003000000}" name="Elemento / condición a evaluar" dataDxfId="11"/>
    <tableColumn id="4" xr3:uid="{00000000-0010-0000-0000-000004000000}" name="Criterio visual de referencia" dataDxfId="10"/>
    <tableColumn id="5" xr3:uid="{00000000-0010-0000-0000-000005000000}" name="Estado seleccionado" dataDxfId="9"/>
    <tableColumn id="6" xr3:uid="{00000000-0010-0000-0000-000006000000}" name="Puntaje" dataDxfId="8"/>
    <tableColumn id="7" xr3:uid="{00000000-0010-0000-0000-000007000000}" name="¿Requiere intervención?" dataDxfId="7"/>
    <tableColumn id="8" xr3:uid="{00000000-0010-0000-0000-000008000000}" name="Observación / Evidencia" dataDxfId="6"/>
    <tableColumn id="9" xr3:uid="{00000000-0010-0000-0000-000009000000}" name="Foto / Ref.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Presupuesto" displayName="TablaPresupuesto" ref="A3:L38" totalsRowShown="0">
  <tableColumns count="12">
    <tableColumn id="1" xr3:uid="{00000000-0010-0000-0100-000001000000}" name="Capítulo"/>
    <tableColumn id="2" xr3:uid="{00000000-0010-0000-0100-000002000000}" name="Código evaluación"/>
    <tableColumn id="3" xr3:uid="{00000000-0010-0000-0100-000003000000}" name="Componente"/>
    <tableColumn id="4" xr3:uid="{00000000-0010-0000-0100-000004000000}" name="Actividad / reparación"/>
    <tableColumn id="5" xr3:uid="{00000000-0010-0000-0100-000005000000}" name="Unidad"/>
    <tableColumn id="6" xr3:uid="{00000000-0010-0000-0100-000006000000}" name="Cantidad"/>
    <tableColumn id="7" xr3:uid="{00000000-0010-0000-0100-000007000000}" name="Valor unitario"/>
    <tableColumn id="8" xr3:uid="{00000000-0010-0000-0100-000008000000}" name="Valor total"/>
    <tableColumn id="9" xr3:uid="{00000000-0010-0000-0100-000009000000}" name="Prioridad"/>
    <tableColumn id="10" xr3:uid="{00000000-0010-0000-0100-00000A000000}" name="¿Cubierto / incluido?"/>
    <tableColumn id="11" xr3:uid="{00000000-0010-0000-0100-00000B000000}" name="Observación técnica"/>
    <tableColumn id="12" xr3:uid="{00000000-0010-0000-0100-00000C000000}" name="Fuente / Cotizac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4"/>
  <sheetViews>
    <sheetView workbookViewId="0"/>
  </sheetViews>
  <sheetFormatPr baseColWidth="10" defaultColWidth="8.6640625" defaultRowHeight="14"/>
  <cols>
    <col min="1" max="1" width="30" customWidth="1"/>
    <col min="2" max="2" width="12" customWidth="1"/>
    <col min="3" max="3" width="34" customWidth="1"/>
    <col min="4" max="4" width="24" customWidth="1"/>
    <col min="6" max="6" width="14" customWidth="1"/>
    <col min="8" max="8" width="14" customWidth="1"/>
    <col min="10" max="10" width="24" customWidth="1"/>
    <col min="12" max="12" width="26" customWidth="1"/>
  </cols>
  <sheetData>
    <row r="1" spans="1:12">
      <c r="A1" s="2" t="s">
        <v>15</v>
      </c>
      <c r="B1" s="2" t="s">
        <v>16</v>
      </c>
      <c r="C1" s="2" t="s">
        <v>116</v>
      </c>
      <c r="D1" s="2" t="s">
        <v>97</v>
      </c>
      <c r="E1" s="3"/>
      <c r="F1" s="2" t="s">
        <v>117</v>
      </c>
      <c r="G1" s="3"/>
      <c r="H1" s="2" t="s">
        <v>98</v>
      </c>
      <c r="J1" s="1" t="s">
        <v>118</v>
      </c>
      <c r="L1" s="1" t="s">
        <v>119</v>
      </c>
    </row>
    <row r="2" spans="1:12">
      <c r="A2" s="3" t="s">
        <v>120</v>
      </c>
      <c r="B2" s="3">
        <v>0</v>
      </c>
      <c r="C2" s="3" t="s">
        <v>121</v>
      </c>
      <c r="D2" s="3" t="s">
        <v>122</v>
      </c>
      <c r="E2" s="3"/>
      <c r="F2" s="3" t="s">
        <v>123</v>
      </c>
      <c r="G2" s="3"/>
      <c r="H2" s="3" t="s">
        <v>124</v>
      </c>
      <c r="J2" t="s">
        <v>125</v>
      </c>
      <c r="L2" t="s">
        <v>126</v>
      </c>
    </row>
    <row r="3" spans="1:12">
      <c r="A3" s="3" t="s">
        <v>127</v>
      </c>
      <c r="B3" s="3">
        <v>1</v>
      </c>
      <c r="C3" s="3" t="s">
        <v>128</v>
      </c>
      <c r="D3" s="3" t="s">
        <v>122</v>
      </c>
      <c r="E3" s="3"/>
      <c r="F3" s="3" t="s">
        <v>129</v>
      </c>
      <c r="G3" s="3"/>
      <c r="H3" s="3" t="s">
        <v>130</v>
      </c>
      <c r="J3" t="s">
        <v>131</v>
      </c>
      <c r="L3" t="s">
        <v>132</v>
      </c>
    </row>
    <row r="4" spans="1:12">
      <c r="A4" s="3" t="s">
        <v>133</v>
      </c>
      <c r="B4" s="3">
        <v>2</v>
      </c>
      <c r="C4" s="3" t="s">
        <v>134</v>
      </c>
      <c r="D4" s="3" t="s">
        <v>135</v>
      </c>
      <c r="E4" s="3"/>
      <c r="F4" s="3" t="s">
        <v>136</v>
      </c>
      <c r="G4" s="3"/>
      <c r="H4" s="3" t="s">
        <v>137</v>
      </c>
      <c r="J4" t="s">
        <v>138</v>
      </c>
      <c r="L4" t="s">
        <v>139</v>
      </c>
    </row>
    <row r="5" spans="1:12">
      <c r="A5" s="3" t="s">
        <v>140</v>
      </c>
      <c r="B5" s="3">
        <v>3</v>
      </c>
      <c r="C5" s="3" t="s">
        <v>141</v>
      </c>
      <c r="D5" s="3" t="s">
        <v>142</v>
      </c>
      <c r="E5" s="3"/>
      <c r="F5" s="3" t="s">
        <v>143</v>
      </c>
      <c r="G5" s="3"/>
      <c r="H5" s="3" t="s">
        <v>144</v>
      </c>
      <c r="J5" t="s">
        <v>145</v>
      </c>
      <c r="L5" t="s">
        <v>146</v>
      </c>
    </row>
    <row r="6" spans="1:12">
      <c r="A6" s="3" t="s">
        <v>147</v>
      </c>
      <c r="B6" s="3">
        <v>4</v>
      </c>
      <c r="C6" s="3" t="s">
        <v>148</v>
      </c>
      <c r="D6" s="3" t="s">
        <v>142</v>
      </c>
      <c r="E6" s="3"/>
      <c r="F6" s="3" t="s">
        <v>149</v>
      </c>
      <c r="G6" s="3"/>
      <c r="H6" s="3"/>
      <c r="J6" t="s">
        <v>150</v>
      </c>
      <c r="L6" t="s">
        <v>151</v>
      </c>
    </row>
    <row r="7" spans="1:12">
      <c r="A7" s="3" t="s">
        <v>152</v>
      </c>
      <c r="B7" s="3">
        <v>-1</v>
      </c>
      <c r="C7" s="3"/>
      <c r="D7" s="3"/>
      <c r="E7" s="3"/>
      <c r="F7" s="3" t="s">
        <v>153</v>
      </c>
      <c r="G7" s="3"/>
      <c r="H7" s="3"/>
      <c r="J7" t="s">
        <v>154</v>
      </c>
      <c r="L7" t="s">
        <v>155</v>
      </c>
    </row>
    <row r="8" spans="1:12">
      <c r="A8" s="3" t="s">
        <v>156</v>
      </c>
      <c r="B8" s="3">
        <v>-1</v>
      </c>
      <c r="C8" s="3"/>
      <c r="D8" s="3"/>
      <c r="E8" s="3"/>
      <c r="F8" s="3" t="s">
        <v>157</v>
      </c>
      <c r="G8" s="3"/>
      <c r="H8" s="3"/>
      <c r="J8" t="s">
        <v>151</v>
      </c>
      <c r="L8" t="s">
        <v>158</v>
      </c>
    </row>
    <row r="9" spans="1:12">
      <c r="A9" s="3"/>
      <c r="B9" s="3"/>
      <c r="C9" s="3"/>
      <c r="D9" s="3"/>
      <c r="E9" s="3"/>
      <c r="F9" s="3" t="s">
        <v>159</v>
      </c>
      <c r="G9" s="3"/>
      <c r="H9" s="3"/>
      <c r="J9" t="s">
        <v>160</v>
      </c>
      <c r="L9" t="s">
        <v>161</v>
      </c>
    </row>
    <row r="10" spans="1:12">
      <c r="A10" s="3"/>
      <c r="B10" s="3"/>
      <c r="C10" s="3"/>
      <c r="D10" s="3"/>
      <c r="E10" s="3"/>
      <c r="F10" s="3" t="s">
        <v>162</v>
      </c>
      <c r="G10" s="3"/>
      <c r="H10" s="3"/>
      <c r="J10" t="s">
        <v>163</v>
      </c>
      <c r="L10" t="s">
        <v>164</v>
      </c>
    </row>
    <row r="11" spans="1:12">
      <c r="J11" t="s">
        <v>161</v>
      </c>
      <c r="L11" t="s">
        <v>165</v>
      </c>
    </row>
    <row r="12" spans="1:12">
      <c r="J12" t="s">
        <v>166</v>
      </c>
      <c r="L12" t="s">
        <v>167</v>
      </c>
    </row>
    <row r="13" spans="1:12">
      <c r="J13" t="s">
        <v>158</v>
      </c>
    </row>
    <row r="14" spans="1:12">
      <c r="J14" t="s">
        <v>168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399DD-D37B-4B81-8C16-7F2240973EA3}">
  <dimension ref="A1:E16"/>
  <sheetViews>
    <sheetView zoomScale="56" zoomScaleNormal="56" workbookViewId="0">
      <selection activeCell="A4" sqref="A4:D4"/>
    </sheetView>
  </sheetViews>
  <sheetFormatPr baseColWidth="10" defaultRowHeight="14"/>
  <cols>
    <col min="1" max="2" width="15.83203125" customWidth="1"/>
    <col min="3" max="4" width="17.5" customWidth="1"/>
    <col min="5" max="5" width="3" customWidth="1"/>
  </cols>
  <sheetData>
    <row r="1" spans="1:5" ht="28" customHeight="1">
      <c r="A1" s="35" t="str">
        <f>IF(Evaluación!D4="","FECHA DE INSPECCIÓN: PENDIENTE","INSPECCIÓN POST-SISMO - "&amp;UPPER(Evaluación!B4)&amp;", "&amp;TEXT(Evaluación!D4,"dd/mm/yyyy"))</f>
        <v>FECHA DE INSPECCIÓN: PENDIENTE</v>
      </c>
      <c r="B1" s="35"/>
      <c r="C1" s="35"/>
      <c r="D1" s="35"/>
      <c r="E1" s="4"/>
    </row>
    <row r="2" spans="1:5" ht="27" customHeight="1">
      <c r="A2" s="35" t="s">
        <v>190</v>
      </c>
      <c r="B2" s="35"/>
      <c r="C2" s="35"/>
      <c r="D2" s="35"/>
      <c r="E2" s="4"/>
    </row>
    <row r="3" spans="1:5" ht="24" customHeight="1">
      <c r="A3" s="4"/>
      <c r="B3" s="4"/>
      <c r="C3" s="4"/>
      <c r="D3" s="4"/>
      <c r="E3" s="4"/>
    </row>
    <row r="4" spans="1:5" ht="65" customHeight="1">
      <c r="A4" s="12" t="s">
        <v>178</v>
      </c>
      <c r="B4" s="12"/>
      <c r="C4" s="12"/>
      <c r="D4" s="12"/>
      <c r="E4" s="4"/>
    </row>
    <row r="5" spans="1:5" ht="25" customHeight="1">
      <c r="A5" s="15" t="s">
        <v>188</v>
      </c>
      <c r="B5" s="15"/>
      <c r="C5" s="16"/>
      <c r="D5" s="16"/>
      <c r="E5" s="4"/>
    </row>
    <row r="6" spans="1:5" ht="25" customHeight="1">
      <c r="A6" s="15" t="s">
        <v>189</v>
      </c>
      <c r="B6" s="15"/>
      <c r="C6" s="16">
        <f>Evaluación!A4</f>
        <v>0</v>
      </c>
      <c r="D6" s="16"/>
      <c r="E6" s="4"/>
    </row>
    <row r="7" spans="1:5" ht="25" customHeight="1">
      <c r="A7" s="15" t="s">
        <v>179</v>
      </c>
      <c r="B7" s="15"/>
      <c r="C7" s="16">
        <f>Evaluación!B4</f>
        <v>0</v>
      </c>
      <c r="D7" s="16"/>
      <c r="E7" s="4"/>
    </row>
    <row r="8" spans="1:5" ht="25" customHeight="1">
      <c r="A8" s="15" t="s">
        <v>180</v>
      </c>
      <c r="B8" s="15"/>
      <c r="C8" s="16">
        <f>Evaluación!C4</f>
        <v>0</v>
      </c>
      <c r="D8" s="16"/>
      <c r="E8" s="4"/>
    </row>
    <row r="9" spans="1:5" ht="25" customHeight="1">
      <c r="A9" s="15" t="s">
        <v>181</v>
      </c>
      <c r="B9" s="15"/>
      <c r="C9" s="17">
        <f>Evaluación!D4</f>
        <v>0</v>
      </c>
      <c r="D9" s="17"/>
      <c r="E9" s="4"/>
    </row>
    <row r="10" spans="1:5" ht="25" customHeight="1">
      <c r="A10" s="15" t="s">
        <v>182</v>
      </c>
      <c r="B10" s="15"/>
      <c r="C10" s="16">
        <f>Evaluación!E4</f>
        <v>0</v>
      </c>
      <c r="D10" s="16"/>
      <c r="E10" s="4"/>
    </row>
    <row r="11" spans="1:5" ht="25" customHeight="1">
      <c r="A11" s="15" t="s">
        <v>183</v>
      </c>
      <c r="B11" s="15"/>
      <c r="C11" s="16">
        <f>Evaluación!F4</f>
        <v>0</v>
      </c>
      <c r="D11" s="16"/>
      <c r="E11" s="4"/>
    </row>
    <row r="12" spans="1:5" ht="25" customHeight="1">
      <c r="A12" s="15" t="s">
        <v>184</v>
      </c>
      <c r="B12" s="15"/>
      <c r="C12" s="16">
        <f>Evaluación!G4</f>
        <v>0</v>
      </c>
      <c r="D12" s="16"/>
      <c r="E12" s="4"/>
    </row>
    <row r="13" spans="1:5" ht="25" customHeight="1">
      <c r="A13" s="15" t="s">
        <v>185</v>
      </c>
      <c r="B13" s="15"/>
      <c r="C13" s="16">
        <f>Evaluación!H4</f>
        <v>0</v>
      </c>
      <c r="D13" s="16"/>
      <c r="E13" s="4"/>
    </row>
    <row r="14" spans="1:5" ht="25" customHeight="1">
      <c r="A14" s="15" t="s">
        <v>186</v>
      </c>
      <c r="B14" s="15"/>
      <c r="C14" s="16">
        <f>Evaluación!I4</f>
        <v>0</v>
      </c>
      <c r="D14" s="16"/>
      <c r="E14" s="4"/>
    </row>
    <row r="15" spans="1:5" ht="25" customHeight="1">
      <c r="A15" s="15" t="s">
        <v>187</v>
      </c>
      <c r="B15" s="15"/>
      <c r="C15" s="17">
        <f>Evaluación!J4</f>
        <v>0</v>
      </c>
      <c r="D15" s="17"/>
      <c r="E15" s="4"/>
    </row>
    <row r="16" spans="1:5">
      <c r="A16" s="4"/>
      <c r="B16" s="4"/>
      <c r="C16" s="4"/>
      <c r="D16" s="4"/>
      <c r="E16" s="4"/>
    </row>
  </sheetData>
  <mergeCells count="25">
    <mergeCell ref="A5:B5"/>
    <mergeCell ref="C5:D5"/>
    <mergeCell ref="A13:B13"/>
    <mergeCell ref="C13:D13"/>
    <mergeCell ref="A14:B14"/>
    <mergeCell ref="C14:D14"/>
    <mergeCell ref="A15:B15"/>
    <mergeCell ref="C15:D15"/>
    <mergeCell ref="C9:D9"/>
    <mergeCell ref="A10:B10"/>
    <mergeCell ref="C10:D10"/>
    <mergeCell ref="A11:B11"/>
    <mergeCell ref="C11:D11"/>
    <mergeCell ref="A12:B12"/>
    <mergeCell ref="C12:D12"/>
    <mergeCell ref="A4:D4"/>
    <mergeCell ref="A6:B6"/>
    <mergeCell ref="C6:D6"/>
    <mergeCell ref="C7:D7"/>
    <mergeCell ref="A8:B8"/>
    <mergeCell ref="C8:D8"/>
    <mergeCell ref="A9:B9"/>
    <mergeCell ref="A7:B7"/>
    <mergeCell ref="A1:D1"/>
    <mergeCell ref="A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topLeftCell="A11" zoomScale="51" zoomScaleNormal="51" workbookViewId="0">
      <selection activeCell="E26" sqref="E26"/>
    </sheetView>
  </sheetViews>
  <sheetFormatPr baseColWidth="10" defaultColWidth="8.6640625" defaultRowHeight="14"/>
  <cols>
    <col min="1" max="10" width="37" customWidth="1"/>
  </cols>
  <sheetData>
    <row r="1" spans="1:12" ht="19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4"/>
      <c r="L1" s="4"/>
    </row>
    <row r="2" spans="1:1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s="19" customFormat="1">
      <c r="A3" s="23" t="s">
        <v>1</v>
      </c>
      <c r="B3" s="23" t="s">
        <v>2</v>
      </c>
      <c r="C3" s="23" t="s">
        <v>3</v>
      </c>
      <c r="D3" s="23" t="s">
        <v>4</v>
      </c>
      <c r="E3" s="23" t="s">
        <v>5</v>
      </c>
      <c r="F3" s="23" t="s">
        <v>6</v>
      </c>
      <c r="G3" s="23" t="s">
        <v>7</v>
      </c>
      <c r="H3" s="23" t="s">
        <v>8</v>
      </c>
      <c r="I3" s="23" t="s">
        <v>9</v>
      </c>
      <c r="J3" s="23" t="s">
        <v>10</v>
      </c>
      <c r="K3" s="18"/>
      <c r="L3" s="18"/>
    </row>
    <row r="4" spans="1:12" ht="75" customHeight="1">
      <c r="A4" s="24"/>
      <c r="B4" s="24"/>
      <c r="C4" s="24"/>
      <c r="D4" s="24"/>
      <c r="E4" s="24"/>
      <c r="F4" s="24"/>
      <c r="G4" s="24"/>
      <c r="H4" s="24"/>
      <c r="I4" s="24"/>
      <c r="J4" s="24"/>
      <c r="K4" s="4"/>
      <c r="L4" s="4"/>
    </row>
    <row r="5" spans="1:1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ht="28">
      <c r="A7" s="20" t="s">
        <v>11</v>
      </c>
      <c r="B7" s="20" t="s">
        <v>12</v>
      </c>
      <c r="C7" s="20" t="s">
        <v>13</v>
      </c>
      <c r="D7" s="20" t="s">
        <v>14</v>
      </c>
      <c r="E7" s="20" t="s">
        <v>15</v>
      </c>
      <c r="F7" s="20" t="s">
        <v>16</v>
      </c>
      <c r="G7" s="20" t="s">
        <v>17</v>
      </c>
      <c r="H7" s="20" t="s">
        <v>18</v>
      </c>
      <c r="I7" s="20" t="s">
        <v>19</v>
      </c>
      <c r="J7" s="20" t="s">
        <v>20</v>
      </c>
      <c r="K7" s="4"/>
      <c r="L7" s="4"/>
    </row>
    <row r="8" spans="1:12" ht="43" customHeight="1">
      <c r="A8" s="14" t="s">
        <v>21</v>
      </c>
      <c r="B8" s="14" t="s">
        <v>22</v>
      </c>
      <c r="C8" s="14" t="s">
        <v>23</v>
      </c>
      <c r="D8" s="14" t="s">
        <v>24</v>
      </c>
      <c r="E8" s="21" t="s">
        <v>140</v>
      </c>
      <c r="F8" s="21">
        <f>IFERROR(VLOOKUP(E8,Listas!$A$2:$B$8,2,FALSE),"")</f>
        <v>3</v>
      </c>
      <c r="G8" s="21" t="str">
        <f t="shared" ref="G8:G26" si="0">IF(OR(E8="Daño moderado",E8="Daño severo",E8="Colapso / peligro inminente"),"Sí",IF(E8="Daño leve","Según alcance","No"))</f>
        <v>Sí</v>
      </c>
      <c r="H8" s="21"/>
      <c r="I8" s="21"/>
      <c r="J8" s="22"/>
      <c r="K8" s="4"/>
      <c r="L8" s="4"/>
    </row>
    <row r="9" spans="1:12" ht="43" customHeight="1">
      <c r="A9" s="14" t="s">
        <v>25</v>
      </c>
      <c r="B9" s="14" t="s">
        <v>26</v>
      </c>
      <c r="C9" s="14" t="s">
        <v>27</v>
      </c>
      <c r="D9" s="14" t="s">
        <v>28</v>
      </c>
      <c r="E9" s="21" t="s">
        <v>127</v>
      </c>
      <c r="F9" s="21">
        <f>IFERROR(VLOOKUP(E9,Listas!$A$2:$B$8,2,FALSE),"")</f>
        <v>1</v>
      </c>
      <c r="G9" s="21" t="str">
        <f t="shared" si="0"/>
        <v>Según alcance</v>
      </c>
      <c r="H9" s="21"/>
      <c r="I9" s="21"/>
      <c r="J9" s="14"/>
      <c r="K9" s="4"/>
      <c r="L9" s="4"/>
    </row>
    <row r="10" spans="1:12" ht="43" customHeight="1">
      <c r="A10" s="14" t="s">
        <v>29</v>
      </c>
      <c r="B10" s="14" t="s">
        <v>30</v>
      </c>
      <c r="C10" s="14" t="s">
        <v>31</v>
      </c>
      <c r="D10" s="14" t="s">
        <v>32</v>
      </c>
      <c r="E10" s="21" t="s">
        <v>127</v>
      </c>
      <c r="F10" s="21">
        <f>IFERROR(VLOOKUP(E10,Listas!$A$2:$B$8,2,FALSE),"")</f>
        <v>1</v>
      </c>
      <c r="G10" s="21" t="str">
        <f t="shared" si="0"/>
        <v>Según alcance</v>
      </c>
      <c r="H10" s="21"/>
      <c r="I10" s="21"/>
      <c r="J10" s="22"/>
      <c r="K10" s="4"/>
      <c r="L10" s="4"/>
    </row>
    <row r="11" spans="1:12" ht="43" customHeight="1">
      <c r="A11" s="14" t="s">
        <v>33</v>
      </c>
      <c r="B11" s="14" t="s">
        <v>34</v>
      </c>
      <c r="C11" s="14" t="s">
        <v>35</v>
      </c>
      <c r="D11" s="14" t="s">
        <v>36</v>
      </c>
      <c r="E11" s="21" t="s">
        <v>133</v>
      </c>
      <c r="F11" s="21">
        <f>IFERROR(VLOOKUP(E11,Listas!$A$2:$B$8,2,FALSE),"")</f>
        <v>2</v>
      </c>
      <c r="G11" s="21" t="str">
        <f t="shared" si="0"/>
        <v>Sí</v>
      </c>
      <c r="H11" s="21"/>
      <c r="I11" s="21"/>
      <c r="J11" s="14"/>
      <c r="K11" s="4"/>
      <c r="L11" s="4"/>
    </row>
    <row r="12" spans="1:12" ht="43" customHeight="1">
      <c r="A12" s="14" t="s">
        <v>37</v>
      </c>
      <c r="B12" s="14" t="s">
        <v>38</v>
      </c>
      <c r="C12" s="14" t="s">
        <v>39</v>
      </c>
      <c r="D12" s="14" t="s">
        <v>40</v>
      </c>
      <c r="E12" s="21" t="s">
        <v>152</v>
      </c>
      <c r="F12" s="21">
        <f>IFERROR(VLOOKUP(E12,Listas!$A$2:$B$8,2,FALSE),"")</f>
        <v>-1</v>
      </c>
      <c r="G12" s="21" t="str">
        <f t="shared" si="0"/>
        <v>No</v>
      </c>
      <c r="H12" s="21"/>
      <c r="I12" s="21"/>
      <c r="J12" s="22"/>
      <c r="K12" s="4"/>
      <c r="L12" s="4"/>
    </row>
    <row r="13" spans="1:12" ht="43" customHeight="1">
      <c r="A13" s="14" t="s">
        <v>37</v>
      </c>
      <c r="B13" s="14" t="s">
        <v>41</v>
      </c>
      <c r="C13" s="14" t="s">
        <v>42</v>
      </c>
      <c r="D13" s="14" t="s">
        <v>43</v>
      </c>
      <c r="E13" s="21" t="s">
        <v>140</v>
      </c>
      <c r="F13" s="21">
        <f>IFERROR(VLOOKUP(E13,Listas!$A$2:$B$8,2,FALSE),"")</f>
        <v>3</v>
      </c>
      <c r="G13" s="21" t="str">
        <f t="shared" si="0"/>
        <v>Sí</v>
      </c>
      <c r="H13" s="21"/>
      <c r="I13" s="21"/>
      <c r="J13" s="14"/>
      <c r="K13" s="4"/>
      <c r="L13" s="4"/>
    </row>
    <row r="14" spans="1:12" ht="43" customHeight="1">
      <c r="A14" s="14" t="s">
        <v>44</v>
      </c>
      <c r="B14" s="14" t="s">
        <v>45</v>
      </c>
      <c r="C14" s="14" t="s">
        <v>46</v>
      </c>
      <c r="D14" s="14" t="s">
        <v>47</v>
      </c>
      <c r="E14" s="21" t="s">
        <v>152</v>
      </c>
      <c r="F14" s="21">
        <f>IFERROR(VLOOKUP(E14,Listas!$A$2:$B$8,2,FALSE),"")</f>
        <v>-1</v>
      </c>
      <c r="G14" s="21" t="str">
        <f t="shared" si="0"/>
        <v>No</v>
      </c>
      <c r="H14" s="21"/>
      <c r="I14" s="21"/>
      <c r="J14" s="22"/>
      <c r="K14" s="4"/>
      <c r="L14" s="4"/>
    </row>
    <row r="15" spans="1:12" ht="43" customHeight="1">
      <c r="A15" s="14" t="s">
        <v>44</v>
      </c>
      <c r="B15" s="14" t="s">
        <v>48</v>
      </c>
      <c r="C15" s="14" t="s">
        <v>49</v>
      </c>
      <c r="D15" s="14" t="s">
        <v>50</v>
      </c>
      <c r="E15" s="21" t="s">
        <v>152</v>
      </c>
      <c r="F15" s="21">
        <f>IFERROR(VLOOKUP(E15,Listas!$A$2:$B$8,2,FALSE),"")</f>
        <v>-1</v>
      </c>
      <c r="G15" s="21" t="str">
        <f t="shared" si="0"/>
        <v>No</v>
      </c>
      <c r="H15" s="21"/>
      <c r="I15" s="21"/>
      <c r="J15" s="14"/>
      <c r="K15" s="4"/>
      <c r="L15" s="4"/>
    </row>
    <row r="16" spans="1:12" ht="43" customHeight="1">
      <c r="A16" s="14" t="s">
        <v>51</v>
      </c>
      <c r="B16" s="14" t="s">
        <v>52</v>
      </c>
      <c r="C16" s="14" t="s">
        <v>53</v>
      </c>
      <c r="D16" s="14" t="s">
        <v>54</v>
      </c>
      <c r="E16" s="21" t="s">
        <v>140</v>
      </c>
      <c r="F16" s="21">
        <f>IFERROR(VLOOKUP(E16,Listas!$A$2:$B$8,2,FALSE),"")</f>
        <v>3</v>
      </c>
      <c r="G16" s="21" t="str">
        <f t="shared" si="0"/>
        <v>Sí</v>
      </c>
      <c r="H16" s="21"/>
      <c r="I16" s="21"/>
      <c r="J16" s="22"/>
      <c r="K16" s="4"/>
      <c r="L16" s="4"/>
    </row>
    <row r="17" spans="1:12" ht="43" customHeight="1">
      <c r="A17" s="14" t="s">
        <v>55</v>
      </c>
      <c r="B17" s="14" t="s">
        <v>56</v>
      </c>
      <c r="C17" s="14" t="s">
        <v>57</v>
      </c>
      <c r="D17" s="14" t="s">
        <v>58</v>
      </c>
      <c r="E17" s="21" t="s">
        <v>133</v>
      </c>
      <c r="F17" s="21">
        <f>IFERROR(VLOOKUP(E17,Listas!$A$2:$B$8,2,FALSE),"")</f>
        <v>2</v>
      </c>
      <c r="G17" s="21" t="str">
        <f t="shared" si="0"/>
        <v>Sí</v>
      </c>
      <c r="H17" s="21"/>
      <c r="I17" s="21"/>
      <c r="J17" s="14"/>
      <c r="K17" s="4"/>
      <c r="L17" s="4"/>
    </row>
    <row r="18" spans="1:12" ht="43" customHeight="1">
      <c r="A18" s="14" t="s">
        <v>59</v>
      </c>
      <c r="B18" s="14" t="s">
        <v>60</v>
      </c>
      <c r="C18" s="14" t="s">
        <v>61</v>
      </c>
      <c r="D18" s="14" t="s">
        <v>62</v>
      </c>
      <c r="E18" s="21" t="s">
        <v>140</v>
      </c>
      <c r="F18" s="21">
        <f>IFERROR(VLOOKUP(E18,Listas!$A$2:$B$8,2,FALSE),"")</f>
        <v>3</v>
      </c>
      <c r="G18" s="21" t="str">
        <f t="shared" si="0"/>
        <v>Sí</v>
      </c>
      <c r="H18" s="21"/>
      <c r="I18" s="21"/>
      <c r="J18" s="22"/>
      <c r="K18" s="4"/>
      <c r="L18" s="4"/>
    </row>
    <row r="19" spans="1:12" ht="43" customHeight="1">
      <c r="A19" s="14" t="s">
        <v>63</v>
      </c>
      <c r="B19" s="14" t="s">
        <v>64</v>
      </c>
      <c r="C19" s="14" t="s">
        <v>65</v>
      </c>
      <c r="D19" s="14" t="s">
        <v>66</v>
      </c>
      <c r="E19" s="21" t="s">
        <v>133</v>
      </c>
      <c r="F19" s="21">
        <f>IFERROR(VLOOKUP(E19,Listas!$A$2:$B$8,2,FALSE),"")</f>
        <v>2</v>
      </c>
      <c r="G19" s="21" t="str">
        <f t="shared" si="0"/>
        <v>Sí</v>
      </c>
      <c r="H19" s="21"/>
      <c r="I19" s="21"/>
      <c r="J19" s="14"/>
      <c r="K19" s="4"/>
      <c r="L19" s="4"/>
    </row>
    <row r="20" spans="1:12" ht="43" customHeight="1">
      <c r="A20" s="14" t="s">
        <v>63</v>
      </c>
      <c r="B20" s="14" t="s">
        <v>67</v>
      </c>
      <c r="C20" s="14" t="s">
        <v>68</v>
      </c>
      <c r="D20" s="14" t="s">
        <v>69</v>
      </c>
      <c r="E20" s="21" t="s">
        <v>152</v>
      </c>
      <c r="F20" s="21">
        <f>IFERROR(VLOOKUP(E20,Listas!$A$2:$B$8,2,FALSE),"")</f>
        <v>-1</v>
      </c>
      <c r="G20" s="21" t="str">
        <f t="shared" si="0"/>
        <v>No</v>
      </c>
      <c r="H20" s="21"/>
      <c r="I20" s="21"/>
      <c r="J20" s="22"/>
      <c r="K20" s="4"/>
      <c r="L20" s="4"/>
    </row>
    <row r="21" spans="1:12" ht="43" customHeight="1">
      <c r="A21" s="14" t="s">
        <v>70</v>
      </c>
      <c r="B21" s="14" t="s">
        <v>71</v>
      </c>
      <c r="C21" s="14" t="s">
        <v>72</v>
      </c>
      <c r="D21" s="14" t="s">
        <v>73</v>
      </c>
      <c r="E21" s="21" t="s">
        <v>140</v>
      </c>
      <c r="F21" s="21">
        <f>IFERROR(VLOOKUP(E21,Listas!$A$2:$B$8,2,FALSE),"")</f>
        <v>3</v>
      </c>
      <c r="G21" s="21" t="str">
        <f t="shared" si="0"/>
        <v>Sí</v>
      </c>
      <c r="H21" s="21"/>
      <c r="I21" s="21"/>
      <c r="J21" s="14"/>
      <c r="K21" s="4"/>
      <c r="L21" s="4"/>
    </row>
    <row r="22" spans="1:12" ht="43" customHeight="1">
      <c r="A22" s="14" t="s">
        <v>70</v>
      </c>
      <c r="B22" s="14" t="s">
        <v>74</v>
      </c>
      <c r="C22" s="14" t="s">
        <v>75</v>
      </c>
      <c r="D22" s="14" t="s">
        <v>76</v>
      </c>
      <c r="E22" s="21" t="s">
        <v>152</v>
      </c>
      <c r="F22" s="21">
        <f>IFERROR(VLOOKUP(E22,Listas!$A$2:$B$8,2,FALSE),"")</f>
        <v>-1</v>
      </c>
      <c r="G22" s="21" t="str">
        <f t="shared" si="0"/>
        <v>No</v>
      </c>
      <c r="H22" s="21"/>
      <c r="I22" s="21"/>
      <c r="J22" s="22"/>
      <c r="K22" s="4"/>
      <c r="L22" s="4"/>
    </row>
    <row r="23" spans="1:12" ht="43" customHeight="1">
      <c r="A23" s="14" t="s">
        <v>77</v>
      </c>
      <c r="B23" s="14" t="s">
        <v>78</v>
      </c>
      <c r="C23" s="14" t="s">
        <v>79</v>
      </c>
      <c r="D23" s="14" t="s">
        <v>80</v>
      </c>
      <c r="E23" s="21" t="s">
        <v>140</v>
      </c>
      <c r="F23" s="21">
        <f>IFERROR(VLOOKUP(E23,Listas!$A$2:$B$8,2,FALSE),"")</f>
        <v>3</v>
      </c>
      <c r="G23" s="21" t="str">
        <f t="shared" si="0"/>
        <v>Sí</v>
      </c>
      <c r="H23" s="21"/>
      <c r="I23" s="21"/>
      <c r="J23" s="14"/>
      <c r="K23" s="4"/>
      <c r="L23" s="4"/>
    </row>
    <row r="24" spans="1:12" ht="43" customHeight="1">
      <c r="A24" s="14" t="s">
        <v>77</v>
      </c>
      <c r="B24" s="14" t="s">
        <v>81</v>
      </c>
      <c r="C24" s="14" t="s">
        <v>82</v>
      </c>
      <c r="D24" s="14" t="s">
        <v>83</v>
      </c>
      <c r="E24" s="21" t="s">
        <v>140</v>
      </c>
      <c r="F24" s="21">
        <f>IFERROR(VLOOKUP(E24,Listas!$A$2:$B$8,2,FALSE),"")</f>
        <v>3</v>
      </c>
      <c r="G24" s="21" t="str">
        <f t="shared" si="0"/>
        <v>Sí</v>
      </c>
      <c r="H24" s="21"/>
      <c r="I24" s="21"/>
      <c r="J24" s="22"/>
      <c r="K24" s="4"/>
      <c r="L24" s="4"/>
    </row>
    <row r="25" spans="1:12" ht="43" customHeight="1">
      <c r="A25" s="14" t="s">
        <v>77</v>
      </c>
      <c r="B25" s="14" t="s">
        <v>84</v>
      </c>
      <c r="C25" s="14" t="s">
        <v>85</v>
      </c>
      <c r="D25" s="14" t="s">
        <v>86</v>
      </c>
      <c r="E25" s="21" t="s">
        <v>140</v>
      </c>
      <c r="F25" s="21">
        <f>IFERROR(VLOOKUP(E25,Listas!$A$2:$B$8,2,FALSE),"")</f>
        <v>3</v>
      </c>
      <c r="G25" s="21" t="str">
        <f t="shared" si="0"/>
        <v>Sí</v>
      </c>
      <c r="H25" s="21"/>
      <c r="I25" s="21"/>
      <c r="J25" s="14"/>
      <c r="K25" s="4"/>
      <c r="L25" s="4"/>
    </row>
    <row r="26" spans="1:12" ht="43" customHeight="1">
      <c r="A26" s="14" t="s">
        <v>87</v>
      </c>
      <c r="B26" s="14" t="s">
        <v>88</v>
      </c>
      <c r="C26" s="14" t="s">
        <v>89</v>
      </c>
      <c r="D26" s="14" t="s">
        <v>90</v>
      </c>
      <c r="E26" s="21" t="s">
        <v>152</v>
      </c>
      <c r="F26" s="21">
        <f>IFERROR(VLOOKUP(E26,Listas!$A$2:$B$8,2,FALSE),"")</f>
        <v>-1</v>
      </c>
      <c r="G26" s="21" t="str">
        <f t="shared" si="0"/>
        <v>No</v>
      </c>
      <c r="H26" s="21"/>
      <c r="I26" s="21"/>
      <c r="J26" s="22"/>
      <c r="K26" s="4"/>
      <c r="L26" s="4"/>
    </row>
    <row r="27" spans="1:1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25" t="s">
        <v>91</v>
      </c>
      <c r="B29" s="25"/>
      <c r="C29" s="25"/>
      <c r="D29" s="25"/>
      <c r="E29" s="25"/>
      <c r="F29" s="25"/>
      <c r="G29" s="25"/>
      <c r="H29" s="25"/>
      <c r="I29" s="25"/>
      <c r="J29" s="25"/>
      <c r="K29" s="4"/>
      <c r="L29" s="4"/>
    </row>
    <row r="30" spans="1:12">
      <c r="A30" s="26" t="s">
        <v>92</v>
      </c>
      <c r="B30" s="27" t="s">
        <v>93</v>
      </c>
      <c r="C30" s="27"/>
      <c r="D30" s="27"/>
      <c r="E30" s="28" t="s">
        <v>94</v>
      </c>
      <c r="F30" s="28"/>
      <c r="G30" s="28"/>
      <c r="H30" s="28"/>
      <c r="I30" s="28"/>
      <c r="J30" s="28"/>
      <c r="K30" s="4"/>
      <c r="L30" s="4"/>
    </row>
    <row r="31" spans="1:12" ht="14" customHeight="1">
      <c r="A31" s="26" t="s">
        <v>95</v>
      </c>
      <c r="B31" s="27">
        <f>IF(COUNT(F8:F26)=0,"",MAX(F8:F26))</f>
        <v>3</v>
      </c>
      <c r="C31" s="27"/>
      <c r="D31" s="27"/>
      <c r="E31" s="29" t="str">
        <f>IF(B31="","Pendiente de diligenciar la evaluación.",IF(B31=0,"No se identifican daños relevantes en los componentes evaluados. El inmueble se clasifica preliminarmente como habitable.",IF(B31=1,"Se identifican daños leves, principalmente compatibles con afectaciones menores. No se evidencia, con la inspección visual, compromiso relevante de la estructura principal.",IF(B31=2,"Se identifican daños moderados que justifican restricción de uso en las áreas afectadas, reparación y revisión técnica antes de normalizar la ocupación.",IF(B31=3,"Se identifican daños severos o afectación de elementos resistentes. Se recomienda suspender la ocupación y realizar evaluación estructural detallada.","Se identifica colapso o condición de peligro inminente. Se requiere evacuación total, aislamiento del área y evaluación especializada inmediata.")))))</f>
        <v>Se identifican daños severos o afectación de elementos resistentes. Se recomienda suspender la ocupación y realizar evaluación estructural detallada.</v>
      </c>
      <c r="F31" s="29"/>
      <c r="G31" s="29"/>
      <c r="H31" s="29"/>
      <c r="I31" s="29"/>
      <c r="J31" s="29"/>
      <c r="K31" s="4"/>
      <c r="L31" s="4"/>
    </row>
    <row r="32" spans="1:12">
      <c r="A32" s="26" t="s">
        <v>96</v>
      </c>
      <c r="B32" s="27" t="str">
        <f>IF(B31="","Pendiente de evaluación",CHOOSE(B31+1,"Nivel 0 - Sin daño","Nivel 1 - Daño leve","Nivel 2 - Daño moderado","Nivel 3 - Daño severo","Nivel 4 - Colapso / Peligro inminente"))</f>
        <v>Nivel 3 - Daño severo</v>
      </c>
      <c r="C32" s="27"/>
      <c r="D32" s="27"/>
      <c r="E32" s="29"/>
      <c r="F32" s="29"/>
      <c r="G32" s="29"/>
      <c r="H32" s="29"/>
      <c r="I32" s="29"/>
      <c r="J32" s="29"/>
      <c r="K32" s="4"/>
      <c r="L32" s="4"/>
    </row>
    <row r="33" spans="1:12">
      <c r="A33" s="26" t="s">
        <v>97</v>
      </c>
      <c r="B33" s="27" t="str">
        <f>IF(B31="","Pendiente",IF(B31&lt;=1,"Habitable",IF(B31=2,"Habitación restringida","Inhabitable")))</f>
        <v>Inhabitable</v>
      </c>
      <c r="C33" s="27"/>
      <c r="D33" s="27"/>
      <c r="E33" s="29"/>
      <c r="F33" s="29"/>
      <c r="G33" s="29"/>
      <c r="H33" s="29"/>
      <c r="I33" s="29"/>
      <c r="J33" s="29"/>
      <c r="K33" s="4"/>
      <c r="L33" s="4"/>
    </row>
    <row r="34" spans="1:12">
      <c r="A34" s="26" t="s">
        <v>98</v>
      </c>
      <c r="B34" s="27" t="str">
        <f>IF(B31="","Pendiente",CHOOSE(B31+1,"Bajo","Bajo","Medio","Alto","Crítico"))</f>
        <v>Alto</v>
      </c>
      <c r="C34" s="27"/>
      <c r="D34" s="27"/>
      <c r="E34" s="29"/>
      <c r="F34" s="29"/>
      <c r="G34" s="29"/>
      <c r="H34" s="29"/>
      <c r="I34" s="29"/>
      <c r="J34" s="29"/>
      <c r="K34" s="4"/>
      <c r="L34" s="4"/>
    </row>
    <row r="35" spans="1:12">
      <c r="A35" s="26" t="s">
        <v>99</v>
      </c>
      <c r="B35" s="27" t="str">
        <f>IF(B31="","Pendiente",IF(B31&gt;=3,"Sí","No"))</f>
        <v>Sí</v>
      </c>
      <c r="C35" s="27"/>
      <c r="D35" s="27"/>
      <c r="E35" s="29"/>
      <c r="F35" s="29"/>
      <c r="G35" s="29"/>
      <c r="H35" s="29"/>
      <c r="I35" s="29"/>
      <c r="J35" s="29"/>
      <c r="K35" s="4"/>
      <c r="L35" s="4"/>
    </row>
    <row r="36" spans="1:1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spans="1:12" ht="14.5" customHeight="1">
      <c r="A37" s="30" t="s">
        <v>100</v>
      </c>
      <c r="B37" s="30"/>
      <c r="C37" s="30"/>
      <c r="D37" s="30"/>
      <c r="E37" s="30"/>
      <c r="F37" s="30"/>
      <c r="G37" s="30"/>
      <c r="H37" s="30"/>
      <c r="I37" s="30"/>
      <c r="J37" s="30"/>
      <c r="K37" s="4"/>
      <c r="L37" s="4"/>
    </row>
    <row r="38" spans="1:1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</sheetData>
  <mergeCells count="11">
    <mergeCell ref="A29:J29"/>
    <mergeCell ref="E30:J30"/>
    <mergeCell ref="E31:J35"/>
    <mergeCell ref="A37:J37"/>
    <mergeCell ref="B33:D33"/>
    <mergeCell ref="B34:D34"/>
    <mergeCell ref="B35:D35"/>
    <mergeCell ref="A1:J1"/>
    <mergeCell ref="B30:D30"/>
    <mergeCell ref="B31:D31"/>
    <mergeCell ref="B32:D32"/>
  </mergeCells>
  <conditionalFormatting sqref="E8:E26">
    <cfRule type="expression" dxfId="3" priority="1">
      <formula>E8="Daño leve"</formula>
    </cfRule>
    <cfRule type="expression" dxfId="2" priority="2">
      <formula>E8="Daño moderado"</formula>
    </cfRule>
    <cfRule type="expression" dxfId="1" priority="3">
      <formula>E8="Daño severo"</formula>
    </cfRule>
    <cfRule type="expression" dxfId="0" priority="4">
      <formula>E8="Colapso / peligro inminente"</formula>
    </cfRule>
  </conditionalFormatting>
  <dataValidations count="1">
    <dataValidation type="list" sqref="J8:J26" xr:uid="{00000000-0002-0000-0000-000001000000}">
      <formula1>"Sin intervención,Reparación menor,Reparación especializada,Apuntalamiento / aislamiento,Demolición / reposición,Evaluación especializada"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000-000000000000}">
          <x14:formula1>
            <xm:f>Listas!$A$2:$A$8</xm:f>
          </x14:formula1>
          <xm:sqref>E8:E26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C4A1F-94BB-4461-A89B-56F3C8B064F3}">
  <dimension ref="A1:H27"/>
  <sheetViews>
    <sheetView tabSelected="1" zoomScale="58" zoomScaleNormal="58" workbookViewId="0">
      <selection activeCell="L20" sqref="L20"/>
    </sheetView>
  </sheetViews>
  <sheetFormatPr baseColWidth="10" defaultRowHeight="14"/>
  <cols>
    <col min="1" max="1" width="18.33203125" customWidth="1"/>
    <col min="2" max="2" width="33.33203125" customWidth="1"/>
    <col min="3" max="8" width="12.5" customWidth="1"/>
  </cols>
  <sheetData>
    <row r="1" spans="1:8" ht="48" customHeight="1">
      <c r="A1" s="43" t="s">
        <v>169</v>
      </c>
      <c r="B1" s="43"/>
      <c r="C1" s="43"/>
      <c r="D1" s="43"/>
      <c r="E1" s="43"/>
      <c r="F1" s="43"/>
      <c r="G1" s="43"/>
      <c r="H1" s="43"/>
    </row>
    <row r="2" spans="1:8">
      <c r="A2" s="31" t="s">
        <v>170</v>
      </c>
      <c r="B2" s="31"/>
      <c r="C2" s="31"/>
      <c r="D2" s="31"/>
      <c r="E2" s="31"/>
      <c r="F2" s="31"/>
      <c r="G2" s="31"/>
      <c r="H2" s="31"/>
    </row>
    <row r="3" spans="1:8">
      <c r="A3" s="40"/>
      <c r="B3" s="41"/>
      <c r="C3" s="41"/>
      <c r="D3" s="41"/>
      <c r="E3" s="41"/>
      <c r="F3" s="41"/>
      <c r="G3" s="41"/>
      <c r="H3" s="42"/>
    </row>
    <row r="4" spans="1:8">
      <c r="A4" s="37" t="s">
        <v>171</v>
      </c>
      <c r="B4" s="37"/>
      <c r="C4" s="37"/>
      <c r="D4" s="37"/>
      <c r="E4" s="37"/>
      <c r="F4" s="37"/>
      <c r="G4" s="37"/>
      <c r="H4" s="37"/>
    </row>
    <row r="5" spans="1:8">
      <c r="A5" s="32" t="s">
        <v>172</v>
      </c>
      <c r="B5" s="32"/>
      <c r="C5" s="38" t="s">
        <v>97</v>
      </c>
      <c r="D5" s="39"/>
      <c r="E5" s="38" t="s">
        <v>98</v>
      </c>
      <c r="F5" s="39"/>
      <c r="G5" s="38" t="s">
        <v>173</v>
      </c>
      <c r="H5" s="39"/>
    </row>
    <row r="6" spans="1:8">
      <c r="A6" s="33" t="str">
        <f>Evaluación!B32</f>
        <v>Nivel 3 - Daño severo</v>
      </c>
      <c r="B6" s="33"/>
      <c r="C6" s="33" t="str">
        <f>Evaluación!B33</f>
        <v>Inhabitable</v>
      </c>
      <c r="D6" s="33"/>
      <c r="E6" s="33" t="str">
        <f>Evaluación!B34</f>
        <v>Alto</v>
      </c>
      <c r="F6" s="33"/>
      <c r="G6" s="33" t="str">
        <f>Evaluación!B35</f>
        <v>Sí</v>
      </c>
      <c r="H6" s="33"/>
    </row>
    <row r="7" spans="1:8">
      <c r="A7" s="40"/>
      <c r="B7" s="41"/>
      <c r="C7" s="41"/>
      <c r="D7" s="41"/>
      <c r="E7" s="41"/>
      <c r="F7" s="41"/>
      <c r="G7" s="41"/>
      <c r="H7" s="42"/>
    </row>
    <row r="8" spans="1:8">
      <c r="A8" s="37" t="s">
        <v>174</v>
      </c>
      <c r="B8" s="37"/>
      <c r="C8" s="37"/>
      <c r="D8" s="37"/>
      <c r="E8" s="37"/>
      <c r="F8" s="37"/>
      <c r="G8" s="37"/>
      <c r="H8" s="37"/>
    </row>
    <row r="9" spans="1:8" ht="20" customHeight="1">
      <c r="A9" s="34" t="str">
        <f>_xlfn.LET(_xlpm.p,Evaluación!B31,_xlpm.h,Evaluación!B33,_xlpm.u,Evaluación!B34,_xlpm.e,Evaluación!B35,IF(OR(_xlpm.p="",_xlpm.p&lt;0),"La evaluación no cuenta con información suficiente para establecer el nivel de riesgo. Complete los estados de los componentes inspeccionados.",CHOOSE(_xlpm.p+1,"Riesgo aparente bajo: no se identifican daños relevantes en los componentes evaluados. La ocupación puede mantenerse, sin perjuicio de controles posteriores.","Riesgo aparente bajo: se registran afectaciones leves sin evidencia visual de compromiso relevante de la estructura principal. Se recomienda mantenimiento o reparación menor según el alcance observado.","Riesgo aparente medio: existen daños moderados que pueden afectar el uso seguro de sectores del inmueble. Debe restringirse el acceso a las áreas comprometidas y realizarse revisión técnica antes de normalizar su ocupación.","Riesgo aparente alto: se observan daños severos o afectación de elementos resistentes. Debe suspenderse la ocupación, aislar las zonas de peligro y efectuarse evaluación estructural detallada.","Riesgo crítico: se identifica colapso o peligro inminente. Se requiere evacuación total, aislamiento inmediato y evaluación especializada de emergencia.")&amp;" Clasificación operativa: "&amp;_xlpm.h&amp;"; urgencia: "&amp;_xlpm.u&amp;"; evacuación: "&amp;_xlpm.e&amp;"."))</f>
        <v>Riesgo aparente alto: se observan daños severos o afectación de elementos resistentes. Debe suspenderse la ocupación, aislar las zonas de peligro y efectuarse evaluación estructural detallada. Clasificación operativa: Inhabitable; urgencia: Alto; evacuación: Sí.</v>
      </c>
      <c r="B9" s="34"/>
      <c r="C9" s="34"/>
      <c r="D9" s="34"/>
      <c r="E9" s="34"/>
      <c r="F9" s="34"/>
      <c r="G9" s="34"/>
      <c r="H9" s="34"/>
    </row>
    <row r="10" spans="1:8" ht="20" customHeight="1">
      <c r="A10" s="34"/>
      <c r="B10" s="34"/>
      <c r="C10" s="34"/>
      <c r="D10" s="34"/>
      <c r="E10" s="34"/>
      <c r="F10" s="34"/>
      <c r="G10" s="34"/>
      <c r="H10" s="34"/>
    </row>
    <row r="11" spans="1:8" ht="20" customHeight="1">
      <c r="A11" s="34"/>
      <c r="B11" s="34"/>
      <c r="C11" s="34"/>
      <c r="D11" s="34"/>
      <c r="E11" s="34"/>
      <c r="F11" s="34"/>
      <c r="G11" s="34"/>
      <c r="H11" s="34"/>
    </row>
    <row r="12" spans="1:8" ht="20" customHeight="1">
      <c r="A12" s="34"/>
      <c r="B12" s="34"/>
      <c r="C12" s="34"/>
      <c r="D12" s="34"/>
      <c r="E12" s="34"/>
      <c r="F12" s="34"/>
      <c r="G12" s="34"/>
      <c r="H12" s="34"/>
    </row>
    <row r="13" spans="1:8">
      <c r="A13" s="24"/>
      <c r="B13" s="24"/>
      <c r="C13" s="24"/>
      <c r="D13" s="24"/>
      <c r="E13" s="24"/>
      <c r="F13" s="24"/>
      <c r="G13" s="24"/>
      <c r="H13" s="24"/>
    </row>
    <row r="14" spans="1:8">
      <c r="A14" s="37" t="s">
        <v>175</v>
      </c>
      <c r="B14" s="37"/>
      <c r="C14" s="36"/>
      <c r="D14" s="36"/>
      <c r="E14" s="36"/>
      <c r="F14" s="36"/>
      <c r="G14" s="36"/>
      <c r="H14" s="36"/>
    </row>
    <row r="15" spans="1:8" ht="20" customHeight="1">
      <c r="A15" s="34" t="str" cm="1">
        <f t="array" ref="A15">_xlfn.LET(_xlpm.s,Evaluación!F8:F26,_xlpm.c,Evaluación!B8:B26,_xlpm.el,Evaluación!C8:C26,_xlpm.es,Evaluación!E8:E26,_xlpm.ob,Evaluación!H8:H26,_xlpm.n,SUM(--(_xlpm.s&gt;0)),_xlpm.detalle,_xlfn.TEXTJOIN("; ",TRUE,_xlfn._xlws.FILTER(_xlpm.c&amp;" – "&amp;_xlpm.el&amp;" ("&amp;_xlpm.es&amp;")"&amp;IF(_xlpm.ob&lt;&gt;"",": "&amp;_xlpm.ob,""),_xlpm.s&gt;0,"")),IF(_xlpm.n=0,IF(COUNT(_xlpm.s)=0,"No hay componentes diligenciados para describir daños.","No se registran daños en los componentes inspeccionados."),"Se registran "&amp;_xlpm.n&amp;" componentes con afectación. Hallazgos: "&amp;_xlpm.detalle&amp;"."))</f>
        <v>Se registran 13 componentes con afectación. Hallazgos: CG-01 – Estado global de la edificación (Daño severo); C-01 – Columnas / elementos verticales (Daño leve); V-01 – Vigas principales (Daño leve); CX-01 – Conexiones viga-columna / uniones (Daño moderado); M-02 – Muros divisorios / cerramientos (Daño severo); CU-01 – Cubierta y estructura de soporte (Daño severo); CI-01 – Cimentación y apoyo (Daño moderado); P-01 – Pisos / placas (Daño severo); G-01 – Terreno inmediato (Daño moderado); NE-01 – Fachadas / vidrios / cielorrasos (Daño severo); R-01 – Instalaciones eléctricas (Daño severo); R-02 – Gas (Daño severo); R-03 – Hidráulicas / sanitarias (Daño severo).</v>
      </c>
      <c r="B15" s="34"/>
      <c r="C15" s="34"/>
      <c r="D15" s="34"/>
      <c r="E15" s="34"/>
      <c r="F15" s="34"/>
      <c r="G15" s="34"/>
      <c r="H15" s="34"/>
    </row>
    <row r="16" spans="1:8" ht="20" customHeight="1">
      <c r="A16" s="34"/>
      <c r="B16" s="34"/>
      <c r="C16" s="34"/>
      <c r="D16" s="34"/>
      <c r="E16" s="34"/>
      <c r="F16" s="34"/>
      <c r="G16" s="34"/>
      <c r="H16" s="34"/>
    </row>
    <row r="17" spans="1:8" ht="20" customHeight="1">
      <c r="A17" s="34"/>
      <c r="B17" s="34"/>
      <c r="C17" s="34"/>
      <c r="D17" s="34"/>
      <c r="E17" s="34"/>
      <c r="F17" s="34"/>
      <c r="G17" s="34"/>
      <c r="H17" s="34"/>
    </row>
    <row r="18" spans="1:8" ht="20" customHeight="1">
      <c r="A18" s="34"/>
      <c r="B18" s="34"/>
      <c r="C18" s="34"/>
      <c r="D18" s="34"/>
      <c r="E18" s="34"/>
      <c r="F18" s="34"/>
      <c r="G18" s="34"/>
      <c r="H18" s="34"/>
    </row>
    <row r="19" spans="1:8" ht="20" customHeight="1">
      <c r="A19" s="34"/>
      <c r="B19" s="34"/>
      <c r="C19" s="34"/>
      <c r="D19" s="34"/>
      <c r="E19" s="34"/>
      <c r="F19" s="34"/>
      <c r="G19" s="34"/>
      <c r="H19" s="34"/>
    </row>
    <row r="20" spans="1:8" ht="37" customHeight="1">
      <c r="A20" s="34"/>
      <c r="B20" s="34"/>
      <c r="C20" s="34"/>
      <c r="D20" s="34"/>
      <c r="E20" s="34"/>
      <c r="F20" s="34"/>
      <c r="G20" s="34"/>
      <c r="H20" s="34"/>
    </row>
    <row r="21" spans="1:8">
      <c r="A21" s="40"/>
      <c r="B21" s="41"/>
      <c r="C21" s="41"/>
      <c r="D21" s="41"/>
      <c r="E21" s="41"/>
      <c r="F21" s="41"/>
      <c r="G21" s="41"/>
      <c r="H21" s="42"/>
    </row>
    <row r="22" spans="1:8">
      <c r="A22" s="37" t="s">
        <v>176</v>
      </c>
      <c r="B22" s="36"/>
      <c r="C22" s="36"/>
      <c r="D22" s="36"/>
      <c r="E22" s="36"/>
      <c r="F22" s="36"/>
      <c r="G22" s="36"/>
      <c r="H22" s="36"/>
    </row>
    <row r="23" spans="1:8" ht="20" customHeight="1">
      <c r="A23" s="34" t="str">
        <f>_xlfn.LET(_xlpm.concepto,Evaluación!E31,_xlpm.categoria,Evaluación!B32,_xlpm.habitabilidad,Evaluación!B33,_xlpm.urgencia,Evaluación!B34,_xlpm.evacuacion,Evaluación!B35,IF(_xlpm.categoria="Pendiente de evaluación","Dictamen pendiente: complete la evaluación visual antes de emitir una clasificación operativa.",_xlpm.concepto&amp;" En consecuencia, la clasificación preliminar es "&amp;_xlpm.categoria&amp;", con condición de habitabilidad "&amp;_xlpm.habitabilidad&amp;", urgencia "&amp;_xlpm.urgencia&amp;" y requerimiento de evacuación: "&amp;_xlpm.evacuacion&amp;". Este dictamen es resultado de una inspección visual rápida y no sustituye un estudio estructural detallado ni el concepto de la autoridad competente."))</f>
        <v>Se identifican daños severos o afectación de elementos resistentes. Se recomienda suspender la ocupación y realizar evaluación estructural detallada. En consecuencia, la clasificación preliminar es Nivel 3 - Daño severo, con condición de habitabilidad Inhabitable, urgencia Alto y requerimiento de evacuación: Sí. Este dictamen es resultado de una inspección visual rápida y no sustituye un estudio estructural detallado ni el concepto de la autoridad competente.</v>
      </c>
      <c r="B23" s="34"/>
      <c r="C23" s="34"/>
      <c r="D23" s="34"/>
      <c r="E23" s="34"/>
      <c r="F23" s="34"/>
      <c r="G23" s="34"/>
      <c r="H23" s="34"/>
    </row>
    <row r="24" spans="1:8" ht="20" customHeight="1">
      <c r="A24" s="34"/>
      <c r="B24" s="34"/>
      <c r="C24" s="34"/>
      <c r="D24" s="34"/>
      <c r="E24" s="34"/>
      <c r="F24" s="34"/>
      <c r="G24" s="34"/>
      <c r="H24" s="34"/>
    </row>
    <row r="25" spans="1:8" ht="20" customHeight="1">
      <c r="A25" s="34"/>
      <c r="B25" s="34"/>
      <c r="C25" s="34"/>
      <c r="D25" s="34"/>
      <c r="E25" s="34"/>
      <c r="F25" s="34"/>
      <c r="G25" s="34"/>
      <c r="H25" s="34"/>
    </row>
    <row r="26" spans="1:8" ht="20" customHeight="1">
      <c r="A26" s="34"/>
      <c r="B26" s="34"/>
      <c r="C26" s="34"/>
      <c r="D26" s="34"/>
      <c r="E26" s="34"/>
      <c r="F26" s="34"/>
      <c r="G26" s="34"/>
      <c r="H26" s="34"/>
    </row>
    <row r="27" spans="1:8" ht="20" customHeight="1">
      <c r="A27" s="34"/>
      <c r="B27" s="34"/>
      <c r="C27" s="34"/>
      <c r="D27" s="34"/>
      <c r="E27" s="34"/>
      <c r="F27" s="34"/>
      <c r="G27" s="34"/>
      <c r="H27" s="34"/>
    </row>
  </sheetData>
  <mergeCells count="16">
    <mergeCell ref="G5:H5"/>
    <mergeCell ref="A3:H3"/>
    <mergeCell ref="A7:H7"/>
    <mergeCell ref="A21:H21"/>
    <mergeCell ref="A9:H12"/>
    <mergeCell ref="A15:H20"/>
    <mergeCell ref="A23:H27"/>
    <mergeCell ref="A1:H1"/>
    <mergeCell ref="A2:H2"/>
    <mergeCell ref="A6:B6"/>
    <mergeCell ref="C6:D6"/>
    <mergeCell ref="E6:F6"/>
    <mergeCell ref="G6:H6"/>
    <mergeCell ref="A5:B5"/>
    <mergeCell ref="C5:D5"/>
    <mergeCell ref="E5:F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"/>
  <sheetViews>
    <sheetView zoomScale="70" zoomScaleNormal="70" workbookViewId="0">
      <selection activeCell="I43" sqref="I43"/>
    </sheetView>
  </sheetViews>
  <sheetFormatPr baseColWidth="10" defaultColWidth="8.6640625" defaultRowHeight="14"/>
  <cols>
    <col min="1" max="1" width="20" customWidth="1"/>
    <col min="2" max="2" width="15" customWidth="1"/>
    <col min="3" max="3" width="24" customWidth="1"/>
    <col min="4" max="4" width="42" customWidth="1"/>
    <col min="5" max="5" width="11" customWidth="1"/>
    <col min="6" max="6" width="12" customWidth="1"/>
    <col min="7" max="7" width="16" customWidth="1"/>
    <col min="8" max="8" width="17" customWidth="1"/>
    <col min="9" max="9" width="13" customWidth="1"/>
    <col min="10" max="10" width="18" customWidth="1"/>
    <col min="11" max="11" width="36" customWidth="1"/>
    <col min="12" max="12" width="25" customWidth="1"/>
  </cols>
  <sheetData>
    <row r="1" spans="1:12" ht="19">
      <c r="A1" s="12" t="s">
        <v>101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ht="28">
      <c r="A3" s="5" t="s">
        <v>102</v>
      </c>
      <c r="B3" s="5" t="s">
        <v>103</v>
      </c>
      <c r="C3" s="5" t="s">
        <v>11</v>
      </c>
      <c r="D3" s="5" t="s">
        <v>104</v>
      </c>
      <c r="E3" s="5" t="s">
        <v>105</v>
      </c>
      <c r="F3" s="5" t="s">
        <v>106</v>
      </c>
      <c r="G3" s="5" t="s">
        <v>107</v>
      </c>
      <c r="H3" s="5" t="s">
        <v>108</v>
      </c>
      <c r="I3" s="5" t="s">
        <v>109</v>
      </c>
      <c r="J3" s="5" t="s">
        <v>110</v>
      </c>
      <c r="K3" s="5" t="s">
        <v>111</v>
      </c>
      <c r="L3" s="5" t="s">
        <v>112</v>
      </c>
    </row>
    <row r="4" spans="1:12">
      <c r="A4" s="4"/>
      <c r="B4" s="4"/>
      <c r="C4" s="4"/>
      <c r="D4" s="4"/>
      <c r="E4" s="4"/>
      <c r="F4" s="6"/>
      <c r="G4" s="7">
        <v>0</v>
      </c>
      <c r="H4" s="7" t="str">
        <f t="shared" ref="H4:H38" si="0">IF(OR(F4="",G4=""),"",F4*G4)</f>
        <v/>
      </c>
      <c r="I4" s="4"/>
      <c r="J4" s="4"/>
      <c r="K4" s="4"/>
      <c r="L4" s="4"/>
    </row>
    <row r="5" spans="1:12">
      <c r="A5" s="4"/>
      <c r="B5" s="4"/>
      <c r="C5" s="4"/>
      <c r="D5" s="4"/>
      <c r="E5" s="4"/>
      <c r="F5" s="6"/>
      <c r="G5" s="7">
        <v>0</v>
      </c>
      <c r="H5" s="7" t="str">
        <f t="shared" si="0"/>
        <v/>
      </c>
      <c r="I5" s="4"/>
      <c r="J5" s="4"/>
      <c r="K5" s="4"/>
      <c r="L5" s="4"/>
    </row>
    <row r="6" spans="1:12">
      <c r="A6" s="4"/>
      <c r="B6" s="4"/>
      <c r="C6" s="4"/>
      <c r="D6" s="4"/>
      <c r="E6" s="4"/>
      <c r="F6" s="6"/>
      <c r="G6" s="7">
        <v>0</v>
      </c>
      <c r="H6" s="7" t="str">
        <f t="shared" si="0"/>
        <v/>
      </c>
      <c r="I6" s="4"/>
      <c r="J6" s="4"/>
      <c r="K6" s="4"/>
      <c r="L6" s="4"/>
    </row>
    <row r="7" spans="1:12">
      <c r="A7" s="4"/>
      <c r="B7" s="4"/>
      <c r="C7" s="4"/>
      <c r="D7" s="4"/>
      <c r="E7" s="4"/>
      <c r="F7" s="6"/>
      <c r="G7" s="7">
        <v>0</v>
      </c>
      <c r="H7" s="7" t="str">
        <f t="shared" si="0"/>
        <v/>
      </c>
      <c r="I7" s="4"/>
      <c r="J7" s="4"/>
      <c r="K7" s="4"/>
      <c r="L7" s="4"/>
    </row>
    <row r="8" spans="1:12">
      <c r="A8" s="4"/>
      <c r="B8" s="4"/>
      <c r="C8" s="4"/>
      <c r="D8" s="4"/>
      <c r="E8" s="4"/>
      <c r="F8" s="6"/>
      <c r="G8" s="7">
        <v>0</v>
      </c>
      <c r="H8" s="7" t="str">
        <f t="shared" si="0"/>
        <v/>
      </c>
      <c r="I8" s="4"/>
      <c r="J8" s="4"/>
      <c r="K8" s="4"/>
      <c r="L8" s="4"/>
    </row>
    <row r="9" spans="1:12">
      <c r="A9" s="4"/>
      <c r="B9" s="4"/>
      <c r="C9" s="4"/>
      <c r="D9" s="4"/>
      <c r="E9" s="4"/>
      <c r="F9" s="6"/>
      <c r="G9" s="7">
        <v>0</v>
      </c>
      <c r="H9" s="7" t="str">
        <f t="shared" si="0"/>
        <v/>
      </c>
      <c r="I9" s="4"/>
      <c r="J9" s="4"/>
      <c r="K9" s="4"/>
      <c r="L9" s="4"/>
    </row>
    <row r="10" spans="1:12">
      <c r="A10" s="4"/>
      <c r="B10" s="4"/>
      <c r="C10" s="4"/>
      <c r="D10" s="4"/>
      <c r="E10" s="4"/>
      <c r="F10" s="6"/>
      <c r="G10" s="7">
        <v>0</v>
      </c>
      <c r="H10" s="7" t="str">
        <f t="shared" si="0"/>
        <v/>
      </c>
      <c r="I10" s="4"/>
      <c r="J10" s="4"/>
      <c r="K10" s="4"/>
      <c r="L10" s="4"/>
    </row>
    <row r="11" spans="1:12">
      <c r="A11" s="4"/>
      <c r="B11" s="4"/>
      <c r="C11" s="4"/>
      <c r="D11" s="4"/>
      <c r="E11" s="4"/>
      <c r="F11" s="6"/>
      <c r="G11" s="7">
        <v>0</v>
      </c>
      <c r="H11" s="7" t="str">
        <f t="shared" si="0"/>
        <v/>
      </c>
      <c r="I11" s="4"/>
      <c r="J11" s="4"/>
      <c r="K11" s="4"/>
      <c r="L11" s="4"/>
    </row>
    <row r="12" spans="1:12">
      <c r="A12" s="4"/>
      <c r="B12" s="4"/>
      <c r="C12" s="4"/>
      <c r="D12" s="4"/>
      <c r="E12" s="4"/>
      <c r="F12" s="6"/>
      <c r="G12" s="7">
        <v>0</v>
      </c>
      <c r="H12" s="7" t="str">
        <f t="shared" si="0"/>
        <v/>
      </c>
      <c r="I12" s="4"/>
      <c r="J12" s="4"/>
      <c r="K12" s="4"/>
      <c r="L12" s="4"/>
    </row>
    <row r="13" spans="1:12">
      <c r="A13" s="4"/>
      <c r="B13" s="4"/>
      <c r="C13" s="4"/>
      <c r="D13" s="4"/>
      <c r="E13" s="4"/>
      <c r="F13" s="6"/>
      <c r="G13" s="7">
        <v>0</v>
      </c>
      <c r="H13" s="7" t="str">
        <f t="shared" si="0"/>
        <v/>
      </c>
      <c r="I13" s="4"/>
      <c r="J13" s="4"/>
      <c r="K13" s="4"/>
      <c r="L13" s="4"/>
    </row>
    <row r="14" spans="1:12">
      <c r="A14" s="4"/>
      <c r="B14" s="4"/>
      <c r="C14" s="4"/>
      <c r="D14" s="4"/>
      <c r="E14" s="4"/>
      <c r="F14" s="6"/>
      <c r="G14" s="7">
        <v>0</v>
      </c>
      <c r="H14" s="7" t="str">
        <f t="shared" si="0"/>
        <v/>
      </c>
      <c r="I14" s="4"/>
      <c r="J14" s="4"/>
      <c r="K14" s="4"/>
      <c r="L14" s="4"/>
    </row>
    <row r="15" spans="1:12">
      <c r="A15" s="4"/>
      <c r="B15" s="4"/>
      <c r="C15" s="4"/>
      <c r="D15" s="4"/>
      <c r="E15" s="4"/>
      <c r="F15" s="6"/>
      <c r="G15" s="7">
        <v>0</v>
      </c>
      <c r="H15" s="7" t="str">
        <f t="shared" si="0"/>
        <v/>
      </c>
      <c r="I15" s="4"/>
      <c r="J15" s="4"/>
      <c r="K15" s="4"/>
      <c r="L15" s="4"/>
    </row>
    <row r="16" spans="1:12">
      <c r="A16" s="4"/>
      <c r="B16" s="4"/>
      <c r="C16" s="4"/>
      <c r="D16" s="4"/>
      <c r="E16" s="4"/>
      <c r="F16" s="6"/>
      <c r="G16" s="7">
        <v>0</v>
      </c>
      <c r="H16" s="7" t="str">
        <f t="shared" si="0"/>
        <v/>
      </c>
      <c r="I16" s="4"/>
      <c r="J16" s="4"/>
      <c r="K16" s="4"/>
      <c r="L16" s="4"/>
    </row>
    <row r="17" spans="1:12">
      <c r="A17" s="4"/>
      <c r="B17" s="4"/>
      <c r="C17" s="4"/>
      <c r="D17" s="4"/>
      <c r="E17" s="4"/>
      <c r="F17" s="6"/>
      <c r="G17" s="7">
        <v>0</v>
      </c>
      <c r="H17" s="7" t="str">
        <f t="shared" si="0"/>
        <v/>
      </c>
      <c r="I17" s="4"/>
      <c r="J17" s="4"/>
      <c r="K17" s="4"/>
      <c r="L17" s="4"/>
    </row>
    <row r="18" spans="1:12">
      <c r="A18" s="4"/>
      <c r="B18" s="4"/>
      <c r="C18" s="4"/>
      <c r="D18" s="4"/>
      <c r="E18" s="4"/>
      <c r="F18" s="6"/>
      <c r="G18" s="7">
        <v>0</v>
      </c>
      <c r="H18" s="7" t="str">
        <f t="shared" si="0"/>
        <v/>
      </c>
      <c r="I18" s="4"/>
      <c r="J18" s="4"/>
      <c r="K18" s="4"/>
      <c r="L18" s="4"/>
    </row>
    <row r="19" spans="1:12">
      <c r="A19" s="4"/>
      <c r="B19" s="4"/>
      <c r="C19" s="4"/>
      <c r="D19" s="4"/>
      <c r="E19" s="4"/>
      <c r="F19" s="6"/>
      <c r="G19" s="7">
        <v>0</v>
      </c>
      <c r="H19" s="7" t="str">
        <f t="shared" si="0"/>
        <v/>
      </c>
      <c r="I19" s="4"/>
      <c r="J19" s="4"/>
      <c r="K19" s="4"/>
      <c r="L19" s="4"/>
    </row>
    <row r="20" spans="1:12">
      <c r="A20" s="4"/>
      <c r="B20" s="4"/>
      <c r="C20" s="4"/>
      <c r="D20" s="4"/>
      <c r="E20" s="4"/>
      <c r="F20" s="6"/>
      <c r="G20" s="7">
        <v>0</v>
      </c>
      <c r="H20" s="7" t="str">
        <f t="shared" si="0"/>
        <v/>
      </c>
      <c r="I20" s="4"/>
      <c r="J20" s="4"/>
      <c r="K20" s="4"/>
      <c r="L20" s="4"/>
    </row>
    <row r="21" spans="1:12">
      <c r="A21" s="4"/>
      <c r="B21" s="4"/>
      <c r="C21" s="4"/>
      <c r="D21" s="4"/>
      <c r="E21" s="4"/>
      <c r="F21" s="6"/>
      <c r="G21" s="7">
        <v>0</v>
      </c>
      <c r="H21" s="7" t="str">
        <f t="shared" si="0"/>
        <v/>
      </c>
      <c r="I21" s="4"/>
      <c r="J21" s="4"/>
      <c r="K21" s="4"/>
      <c r="L21" s="4"/>
    </row>
    <row r="22" spans="1:12">
      <c r="A22" s="4"/>
      <c r="B22" s="4"/>
      <c r="C22" s="4"/>
      <c r="D22" s="4"/>
      <c r="E22" s="4"/>
      <c r="F22" s="6"/>
      <c r="G22" s="7">
        <v>0</v>
      </c>
      <c r="H22" s="7" t="str">
        <f t="shared" si="0"/>
        <v/>
      </c>
      <c r="I22" s="4"/>
      <c r="J22" s="4"/>
      <c r="K22" s="4"/>
      <c r="L22" s="4"/>
    </row>
    <row r="23" spans="1:12">
      <c r="A23" s="4"/>
      <c r="B23" s="4"/>
      <c r="C23" s="4"/>
      <c r="D23" s="4"/>
      <c r="E23" s="4"/>
      <c r="F23" s="6"/>
      <c r="G23" s="7">
        <v>0</v>
      </c>
      <c r="H23" s="7" t="str">
        <f t="shared" si="0"/>
        <v/>
      </c>
      <c r="I23" s="4"/>
      <c r="J23" s="4"/>
      <c r="K23" s="4"/>
      <c r="L23" s="4"/>
    </row>
    <row r="24" spans="1:12">
      <c r="A24" s="4"/>
      <c r="B24" s="4"/>
      <c r="C24" s="4"/>
      <c r="D24" s="4"/>
      <c r="E24" s="4"/>
      <c r="F24" s="6"/>
      <c r="G24" s="7">
        <v>0</v>
      </c>
      <c r="H24" s="7" t="str">
        <f t="shared" si="0"/>
        <v/>
      </c>
      <c r="I24" s="4"/>
      <c r="J24" s="4"/>
      <c r="K24" s="4"/>
      <c r="L24" s="4"/>
    </row>
    <row r="25" spans="1:12">
      <c r="A25" s="4"/>
      <c r="B25" s="4"/>
      <c r="C25" s="4"/>
      <c r="D25" s="4"/>
      <c r="E25" s="4"/>
      <c r="F25" s="6"/>
      <c r="G25" s="7">
        <v>0</v>
      </c>
      <c r="H25" s="7" t="str">
        <f t="shared" si="0"/>
        <v/>
      </c>
      <c r="I25" s="4"/>
      <c r="J25" s="4"/>
      <c r="K25" s="4"/>
      <c r="L25" s="4"/>
    </row>
    <row r="26" spans="1:12">
      <c r="A26" s="4"/>
      <c r="B26" s="4"/>
      <c r="C26" s="4"/>
      <c r="D26" s="4"/>
      <c r="E26" s="4"/>
      <c r="F26" s="6"/>
      <c r="G26" s="7">
        <v>0</v>
      </c>
      <c r="H26" s="7" t="str">
        <f t="shared" si="0"/>
        <v/>
      </c>
      <c r="I26" s="4"/>
      <c r="J26" s="4"/>
      <c r="K26" s="4"/>
      <c r="L26" s="4"/>
    </row>
    <row r="27" spans="1:12">
      <c r="A27" s="4"/>
      <c r="B27" s="4"/>
      <c r="C27" s="4"/>
      <c r="D27" s="4"/>
      <c r="E27" s="4"/>
      <c r="F27" s="6"/>
      <c r="G27" s="7">
        <v>0</v>
      </c>
      <c r="H27" s="7" t="str">
        <f t="shared" si="0"/>
        <v/>
      </c>
      <c r="I27" s="4"/>
      <c r="J27" s="4"/>
      <c r="K27" s="4"/>
      <c r="L27" s="4"/>
    </row>
    <row r="28" spans="1:12">
      <c r="A28" s="4"/>
      <c r="B28" s="4"/>
      <c r="C28" s="4"/>
      <c r="D28" s="4"/>
      <c r="E28" s="4"/>
      <c r="F28" s="6"/>
      <c r="G28" s="7">
        <v>0</v>
      </c>
      <c r="H28" s="7" t="str">
        <f t="shared" si="0"/>
        <v/>
      </c>
      <c r="I28" s="4"/>
      <c r="J28" s="4"/>
      <c r="K28" s="4"/>
      <c r="L28" s="4"/>
    </row>
    <row r="29" spans="1:12">
      <c r="A29" s="4"/>
      <c r="B29" s="4"/>
      <c r="C29" s="4"/>
      <c r="D29" s="4"/>
      <c r="E29" s="4"/>
      <c r="F29" s="6"/>
      <c r="G29" s="7">
        <v>0</v>
      </c>
      <c r="H29" s="7" t="str">
        <f t="shared" si="0"/>
        <v/>
      </c>
      <c r="I29" s="4"/>
      <c r="J29" s="4"/>
      <c r="K29" s="4"/>
      <c r="L29" s="4"/>
    </row>
    <row r="30" spans="1:12">
      <c r="A30" s="4"/>
      <c r="B30" s="4"/>
      <c r="C30" s="4"/>
      <c r="D30" s="4"/>
      <c r="E30" s="4"/>
      <c r="F30" s="6"/>
      <c r="G30" s="7">
        <v>0</v>
      </c>
      <c r="H30" s="7" t="str">
        <f t="shared" si="0"/>
        <v/>
      </c>
      <c r="I30" s="4"/>
      <c r="J30" s="4"/>
      <c r="K30" s="4"/>
      <c r="L30" s="4"/>
    </row>
    <row r="31" spans="1:12">
      <c r="A31" s="4"/>
      <c r="B31" s="4"/>
      <c r="C31" s="4"/>
      <c r="D31" s="4"/>
      <c r="E31" s="4"/>
      <c r="F31" s="6"/>
      <c r="G31" s="7">
        <v>0</v>
      </c>
      <c r="H31" s="7" t="str">
        <f t="shared" si="0"/>
        <v/>
      </c>
      <c r="I31" s="4"/>
      <c r="J31" s="4"/>
      <c r="K31" s="4"/>
      <c r="L31" s="4"/>
    </row>
    <row r="32" spans="1:12">
      <c r="A32" s="4"/>
      <c r="B32" s="4"/>
      <c r="C32" s="4"/>
      <c r="D32" s="4"/>
      <c r="E32" s="4"/>
      <c r="F32" s="6"/>
      <c r="G32" s="7">
        <v>0</v>
      </c>
      <c r="H32" s="7" t="str">
        <f t="shared" si="0"/>
        <v/>
      </c>
      <c r="I32" s="4"/>
      <c r="J32" s="4"/>
      <c r="K32" s="4"/>
      <c r="L32" s="4"/>
    </row>
    <row r="33" spans="1:12">
      <c r="A33" s="4"/>
      <c r="B33" s="4"/>
      <c r="C33" s="4"/>
      <c r="D33" s="4"/>
      <c r="E33" s="4"/>
      <c r="F33" s="6"/>
      <c r="G33" s="7">
        <v>0</v>
      </c>
      <c r="H33" s="7" t="str">
        <f t="shared" si="0"/>
        <v/>
      </c>
      <c r="I33" s="4"/>
      <c r="J33" s="4"/>
      <c r="K33" s="4"/>
      <c r="L33" s="4"/>
    </row>
    <row r="34" spans="1:12">
      <c r="A34" s="4"/>
      <c r="B34" s="4"/>
      <c r="C34" s="4"/>
      <c r="D34" s="4"/>
      <c r="E34" s="4"/>
      <c r="F34" s="6"/>
      <c r="G34" s="7">
        <v>0</v>
      </c>
      <c r="H34" s="7" t="str">
        <f t="shared" si="0"/>
        <v/>
      </c>
      <c r="I34" s="4"/>
      <c r="J34" s="4"/>
      <c r="K34" s="4"/>
      <c r="L34" s="4"/>
    </row>
    <row r="35" spans="1:12">
      <c r="A35" s="4"/>
      <c r="B35" s="4"/>
      <c r="C35" s="4"/>
      <c r="D35" s="4"/>
      <c r="E35" s="4"/>
      <c r="F35" s="6"/>
      <c r="G35" s="7">
        <v>0</v>
      </c>
      <c r="H35" s="7" t="str">
        <f t="shared" si="0"/>
        <v/>
      </c>
      <c r="I35" s="4"/>
      <c r="J35" s="4"/>
      <c r="K35" s="4"/>
      <c r="L35" s="4"/>
    </row>
    <row r="36" spans="1:12">
      <c r="A36" s="4"/>
      <c r="B36" s="4"/>
      <c r="C36" s="4"/>
      <c r="D36" s="4"/>
      <c r="E36" s="4"/>
      <c r="F36" s="6"/>
      <c r="G36" s="7">
        <v>0</v>
      </c>
      <c r="H36" s="7" t="str">
        <f t="shared" si="0"/>
        <v/>
      </c>
      <c r="I36" s="4"/>
      <c r="J36" s="4"/>
      <c r="K36" s="4"/>
      <c r="L36" s="4"/>
    </row>
    <row r="37" spans="1:12">
      <c r="A37" s="4"/>
      <c r="B37" s="4"/>
      <c r="C37" s="4"/>
      <c r="D37" s="4"/>
      <c r="E37" s="4"/>
      <c r="F37" s="6"/>
      <c r="G37" s="7">
        <v>0</v>
      </c>
      <c r="H37" s="7" t="str">
        <f t="shared" si="0"/>
        <v/>
      </c>
      <c r="I37" s="4"/>
      <c r="J37" s="4"/>
      <c r="K37" s="4"/>
      <c r="L37" s="4"/>
    </row>
    <row r="38" spans="1:12">
      <c r="A38" s="4"/>
      <c r="B38" s="4"/>
      <c r="C38" s="4"/>
      <c r="D38" s="4"/>
      <c r="E38" s="4"/>
      <c r="F38" s="6"/>
      <c r="G38" s="7">
        <v>0</v>
      </c>
      <c r="H38" s="7" t="str">
        <f t="shared" si="0"/>
        <v/>
      </c>
      <c r="I38" s="4"/>
      <c r="J38" s="4"/>
      <c r="K38" s="4"/>
      <c r="L38" s="4"/>
    </row>
    <row r="39" spans="1:1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4"/>
      <c r="D40" s="4"/>
      <c r="E40" s="4"/>
      <c r="F40" s="8"/>
      <c r="G40" s="8" t="s">
        <v>113</v>
      </c>
      <c r="H40" s="7">
        <f>SUM(H4:H38)</f>
        <v>0</v>
      </c>
      <c r="I40" s="4"/>
      <c r="J40" s="4"/>
      <c r="K40" s="4"/>
      <c r="L40" s="4"/>
    </row>
    <row r="41" spans="1:12">
      <c r="A41" s="4"/>
      <c r="B41" s="4"/>
      <c r="C41" s="4"/>
      <c r="D41" s="4"/>
      <c r="E41" s="4"/>
      <c r="F41" s="8" t="s">
        <v>177</v>
      </c>
      <c r="G41" s="9">
        <v>0.05</v>
      </c>
      <c r="H41" s="7">
        <f>H40*G41</f>
        <v>0</v>
      </c>
      <c r="I41" s="4"/>
      <c r="J41" s="4"/>
      <c r="K41" s="4"/>
      <c r="L41" s="4"/>
    </row>
    <row r="42" spans="1:12">
      <c r="A42" s="4"/>
      <c r="B42" s="4"/>
      <c r="C42" s="4"/>
      <c r="D42" s="4"/>
      <c r="E42" s="4"/>
      <c r="F42" s="8"/>
      <c r="G42" s="9">
        <v>0.1</v>
      </c>
      <c r="H42" s="7">
        <f>(H40+H41)*G42</f>
        <v>0</v>
      </c>
      <c r="I42" s="4"/>
      <c r="J42" s="4"/>
      <c r="K42" s="4"/>
      <c r="L42" s="4"/>
    </row>
    <row r="43" spans="1:12">
      <c r="A43" s="4"/>
      <c r="B43" s="4"/>
      <c r="C43" s="4"/>
      <c r="D43" s="4"/>
      <c r="E43" s="4"/>
      <c r="F43" s="8"/>
      <c r="G43" s="9">
        <v>0</v>
      </c>
      <c r="H43" s="7">
        <f>(H40+H41+H42)*G43</f>
        <v>0</v>
      </c>
      <c r="I43" s="4"/>
      <c r="J43" s="4"/>
      <c r="K43" s="4"/>
      <c r="L43" s="4"/>
    </row>
    <row r="44" spans="1:12" ht="15.5">
      <c r="A44" s="4"/>
      <c r="B44" s="4"/>
      <c r="C44" s="4"/>
      <c r="D44" s="4"/>
      <c r="E44" s="4"/>
      <c r="F44" s="10"/>
      <c r="G44" s="10" t="s">
        <v>114</v>
      </c>
      <c r="H44" s="11">
        <f>SUM(H40:H43)</f>
        <v>0</v>
      </c>
      <c r="I44" s="4"/>
      <c r="J44" s="4"/>
      <c r="K44" s="4"/>
      <c r="L44" s="4"/>
    </row>
    <row r="45" spans="1:1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13" t="s">
        <v>115</v>
      </c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</row>
    <row r="48" spans="1:12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</row>
    <row r="49" spans="1:1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</row>
  </sheetData>
  <mergeCells count="2">
    <mergeCell ref="A1:L1"/>
    <mergeCell ref="A47:L48"/>
  </mergeCells>
  <dataValidations count="2">
    <dataValidation type="list" sqref="I4:I38" xr:uid="{00000000-0002-0000-0100-000002000000}">
      <formula1>"Baja,Media,Alta,Crítica"</formula1>
    </dataValidation>
    <dataValidation type="list" sqref="J4:J38" xr:uid="{00000000-0002-0000-0100-000003000000}">
      <formula1>"Sí,No,Por definir"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100-000000000000}">
          <x14:formula1>
            <xm:f>Evaluación!$B$8:$B$26</xm:f>
          </x14:formula1>
          <xm:sqref>B4:B38</xm:sqref>
        </x14:dataValidation>
        <x14:dataValidation type="list" xr:uid="{00000000-0002-0000-0100-000001000000}">
          <x14:formula1>
            <xm:f>Listas!$F$2:$F$10</xm:f>
          </x14:formula1>
          <xm:sqref>E4:E38</xm:sqref>
        </x14:dataValidation>
        <x14:dataValidation type="list" xr:uid="{00000000-0002-0000-0100-000004000000}">
          <x14:formula1>
            <xm:f>Listas!$J$2:$J$14</xm:f>
          </x14:formula1>
          <xm:sqref>C4:C38</xm:sqref>
        </x14:dataValidation>
        <x14:dataValidation type="list" xr:uid="{00000000-0002-0000-0100-000005000000}">
          <x14:formula1>
            <xm:f>Listas!$L$2:$L$12</xm:f>
          </x14:formula1>
          <xm:sqref>A4:A38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Listas</vt:lpstr>
      <vt:lpstr>Portada</vt:lpstr>
      <vt:lpstr>Evaluación</vt:lpstr>
      <vt:lpstr>Dictamen</vt:lpstr>
      <vt:lpstr>Presupuesto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Os Asus principal</cp:lastModifiedBy>
  <dcterms:created xsi:type="dcterms:W3CDTF">2026-08-10T17:02:31Z</dcterms:created>
  <dcterms:modified xsi:type="dcterms:W3CDTF">2026-08-10T17:07:44Z</dcterms:modified>
</cp:coreProperties>
</file>