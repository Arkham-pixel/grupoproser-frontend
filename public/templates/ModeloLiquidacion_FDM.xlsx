
<file path=[Content_Types].xml><?xml version="1.0" encoding="utf-8"?>
<Types xmlns="http://schemas.openxmlformats.org/package/2006/content-types">
  <Default Extension="jpeg" ContentType="image/jpeg"/>
  <Default Extension="svg" ContentType="image/sv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Liquidador" state="visible" r:id="rId4"/>
    <sheet sheetId="4" name="PDF" state="hidden" r:id="rId5"/>
    <sheet sheetId="2" name="Bases" state="hidden" r:id="rId6"/>
    <sheet sheetId="3" name="CxW" state="hidden" r:id="rId7"/>
  </sheets>
  <definedNames>
    <definedName name="_xlnm.Print_Area" localSheetId="0">'Liquidador'!$B2:$BN68</definedName>
    <definedName name="_xlnm.Print_Area" localSheetId="1">'PDF'!$A1:$S36</definedName>
  </definedNames>
  <calcPr calcId="171027"/>
</workbook>
</file>

<file path=xl/sharedStrings.xml><?xml version="1.0" encoding="utf-8"?>
<sst xmlns="http://schemas.openxmlformats.org/spreadsheetml/2006/main" count="67" uniqueCount="57">
  <si>
    <t>TOMADOR:</t>
  </si>
  <si>
    <t>FUNDACION DE LA MUJER</t>
  </si>
  <si>
    <t>FECHA SINIESTRO:</t>
  </si>
  <si>
    <t>ASEGURADO:</t>
  </si>
  <si>
    <t>DIRECCION:</t>
  </si>
  <si>
    <t>Campos Diligenciables</t>
  </si>
  <si>
    <t>POLIZA:</t>
  </si>
  <si>
    <t>EVENTO:</t>
  </si>
  <si>
    <t>ANEGACION</t>
  </si>
  <si>
    <t>ORDEN:</t>
  </si>
  <si>
    <t>CEDULA:</t>
  </si>
  <si>
    <t>SINIESTRO:</t>
  </si>
  <si>
    <t>RAMO:</t>
  </si>
  <si>
    <t>microseguros daños basico empresa</t>
  </si>
  <si>
    <t>CONTENIDOS</t>
  </si>
  <si>
    <t>EDIFICIOS</t>
  </si>
  <si>
    <t>N°</t>
  </si>
  <si>
    <t>ITEM</t>
  </si>
  <si>
    <t>VALOR</t>
  </si>
  <si>
    <t>SUBTOTAL</t>
  </si>
  <si>
    <t>PERDIDA ESTABLECIDA</t>
  </si>
  <si>
    <t>(-) DEDUCIBLE</t>
  </si>
  <si>
    <t>(=) TOTAL</t>
  </si>
  <si>
    <t xml:space="preserve">  SUBSIDIO</t>
  </si>
  <si>
    <t>(+) SUBSIDIO</t>
  </si>
  <si>
    <t xml:space="preserve">  SMMLV</t>
  </si>
  <si>
    <t>(=) INDEMNIZACIÓN</t>
  </si>
  <si>
    <t xml:space="preserve">  DEDUCIBLE</t>
  </si>
  <si>
    <t/>
  </si>
  <si>
    <t>Impreso:</t>
  </si>
  <si>
    <t>CONSTANCIA DE INDEMNIZACIÓN Y PAZ Y SALVO</t>
  </si>
  <si>
    <t>ASEGURADO Y BENEFICIARIO:</t>
  </si>
  <si>
    <t>AGENCIA:</t>
  </si>
  <si>
    <t>Bucaramanga</t>
  </si>
  <si>
    <t>CUARTO. - De acuerdo con lo establecido por los artículos 15, 2.483 y concordantes del Código Civil Colombiano, renuncio y desisto de las acciones y derechos que me confieren las leyes civiles y penales, para iniciar en un futuro acción alguna que persiga el pago de perjuicios materiales y morales en contra de LA EQUIDAD SEGUROS GENERALES O.C., en consideración a que los daños fueron indemnizados en su totalidad.</t>
  </si>
  <si>
    <t>Firma:</t>
  </si>
  <si>
    <t>Cedula de Ciudadanía No</t>
  </si>
  <si>
    <t>SMMLV</t>
  </si>
  <si>
    <t>DEDUCIBLE</t>
  </si>
  <si>
    <t>TOMADOR</t>
  </si>
  <si>
    <t>ASEGURADO</t>
  </si>
  <si>
    <t>POLIZA</t>
  </si>
  <si>
    <t>SINIESTRO</t>
  </si>
  <si>
    <t>ORDEN</t>
  </si>
  <si>
    <t>EVENTO</t>
  </si>
  <si>
    <t>CEDULA</t>
  </si>
  <si>
    <t>RAMO</t>
  </si>
  <si>
    <t>FECHA</t>
  </si>
  <si>
    <t>DIRECCIÓN</t>
  </si>
  <si>
    <t>VALOR LIQUIDADO</t>
  </si>
  <si>
    <t>TASA</t>
  </si>
  <si>
    <t>TOTAL</t>
  </si>
  <si>
    <t>SUBSIDIO</t>
  </si>
  <si>
    <t>INDEMNIZACION</t>
  </si>
  <si>
    <t>LETRAS</t>
  </si>
  <si>
    <t>IMPRESO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</si>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</sst>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F800]dddd, mmmm dd, yyyy"/>
    <numFmt numFmtId="165" formatCode="_-&quot;$&quot; * #,##0_-;-&quot;$&quot; * #,##0_-;_-&quot;$&quot; * &quot;-&quot;??_-;_-@_-"/>
    <numFmt numFmtId="166" formatCode="_-* #,##0_-;-* #,##0_-;_-* &quot;-&quot;??_-;_-@_-"/>
    <numFmt numFmtId="167" formatCode="_-* #,##0_-;-* #,##0_-;_-* &quot;-&quot;_-;_-@_-"/>
    <numFmt numFmtId="168" formatCode="_-* #,##0.00_-;-* #,##0.00_-;_-* &quot;-&quot;??_-;_-@_-"/>
  </numFmts>
  <fonts count="14" x14ac:knownFonts="1">
    <font>
      <color theme="1"/>
      <family val="2"/>
      <scheme val="minor"/>
      <sz val="11"/>
      <name val="Calibri"/>
    </font>
    <font>
      <color theme="1"/>
      <family val="2"/>
      <sz val="11"/>
      <name val="Arial Nova"/>
    </font>
    <font>
      <b/>
      <color theme="1"/>
      <family val="2"/>
      <sz val="11"/>
      <name val="Arial Nova"/>
    </font>
    <font>
      <color theme="1"/>
      <family val="2"/>
      <sz val="9"/>
      <name val="Arial Nova"/>
    </font>
    <font>
      <b/>
      <color theme="1"/>
      <family val="2"/>
      <sz val="10"/>
      <name val="Arial Nova"/>
    </font>
    <font>
      <color theme="1"/>
      <family val="2"/>
      <sz val="10"/>
      <name val="Arial Nova"/>
    </font>
    <font>
      <b/>
      <color theme="1"/>
      <family val="2"/>
      <sz val="12"/>
      <name val="Arial Nova"/>
    </font>
    <font>
      <i/>
      <color theme="1"/>
      <family val="2"/>
      <sz val="10"/>
      <name val="Arial Nova"/>
    </font>
    <font>
      <b/>
      <color theme="0"/>
      <family val="2"/>
      <sz val="10"/>
      <name val="Arial Nova"/>
    </font>
    <font>
      <b/>
      <u/>
      <color theme="1"/>
      <family val="2"/>
      <sz val="9"/>
      <name val="Arial Nova"/>
    </font>
    <font>
      <b/>
      <color theme="1"/>
      <family val="2"/>
      <sz val="9"/>
      <name val="Arial Nova"/>
    </font>
    <font>
      <color theme="1"/>
      <family val="2"/>
      <sz val="8"/>
      <name val="Arial Nova"/>
    </font>
    <font>
      <color theme="1"/>
      <family val="2"/>
      <sz val="10"/>
      <name val="Arial"/>
    </font>
    <font>
      <b/>
      <color theme="1"/>
      <family val="2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EE2D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/>
      <right style="thick">
        <color theme="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6" borderId="9" xfId="0" applyNumberFormat="1" applyFont="1" applyFill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4" fontId="1" fillId="6" borderId="9" xfId="0" applyNumberFormat="1" applyFont="1" applyFill="1" applyBorder="1" applyAlignment="1">
      <alignment horizontal="left" vertical="center"/>
    </xf>
    <xf numFmtId="0" fontId="1" fillId="6" borderId="10" xfId="0" applyFont="1" applyFill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3" fontId="1" fillId="6" borderId="9" xfId="0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0" borderId="4" xfId="0" applyFont="1" applyBorder="1" applyAlignment="1">
      <alignment vertical="center"/>
    </xf>
    <xf numFmtId="0" fontId="2" fillId="5" borderId="0" xfId="0" applyFont="1" applyFill="1" applyAlignment="1">
      <alignment horizontal="centerContinuous" vertical="center"/>
    </xf>
    <xf numFmtId="0" fontId="2" fillId="3" borderId="0" xfId="0" applyFont="1" applyFill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165" fontId="1" fillId="6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5" fontId="2" fillId="7" borderId="9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165" fontId="5" fillId="6" borderId="6" xfId="0" applyNumberFormat="1" applyFont="1" applyFill="1" applyBorder="1" applyAlignment="1">
      <alignment horizontal="center" vertical="center"/>
    </xf>
    <xf numFmtId="165" fontId="5" fillId="6" borderId="7" xfId="0" applyNumberFormat="1" applyFont="1" applyFill="1" applyBorder="1" applyAlignment="1">
      <alignment horizontal="center" vertical="center"/>
    </xf>
    <xf numFmtId="165" fontId="5" fillId="6" borderId="8" xfId="0" applyNumberFormat="1" applyFont="1" applyFill="1" applyBorder="1" applyAlignment="1">
      <alignment horizontal="center" vertical="center"/>
    </xf>
    <xf numFmtId="49" fontId="4" fillId="6" borderId="6" xfId="0" applyNumberFormat="1" applyFont="1" applyFill="1" applyBorder="1" applyAlignment="1">
      <alignment horizontal="center" vertical="center"/>
    </xf>
    <xf numFmtId="49" fontId="4" fillId="6" borderId="8" xfId="0" applyNumberFormat="1" applyFont="1" applyFill="1" applyBorder="1" applyAlignment="1">
      <alignment horizontal="center" vertical="center"/>
    </xf>
    <xf numFmtId="165" fontId="5" fillId="7" borderId="6" xfId="0" applyNumberFormat="1" applyFont="1" applyFill="1" applyBorder="1" applyAlignment="1">
      <alignment horizontal="center" vertical="center"/>
    </xf>
    <xf numFmtId="165" fontId="5" fillId="7" borderId="7" xfId="0" applyNumberFormat="1" applyFont="1" applyFill="1" applyBorder="1" applyAlignment="1">
      <alignment horizontal="center" vertical="center"/>
    </xf>
    <xf numFmtId="165" fontId="5" fillId="7" borderId="8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left" vertical="center"/>
    </xf>
    <xf numFmtId="0" fontId="4" fillId="5" borderId="12" xfId="0" applyFont="1" applyFill="1" applyBorder="1" applyAlignment="1">
      <alignment horizontal="left" vertical="center"/>
    </xf>
    <xf numFmtId="9" fontId="4" fillId="6" borderId="6" xfId="0" applyNumberFormat="1" applyFont="1" applyFill="1" applyBorder="1" applyAlignment="1">
      <alignment horizontal="center" vertical="center"/>
    </xf>
    <xf numFmtId="9" fontId="4" fillId="6" borderId="8" xfId="0" applyNumberFormat="1" applyFont="1" applyFill="1" applyBorder="1" applyAlignment="1">
      <alignment horizontal="center" vertical="center"/>
    </xf>
    <xf numFmtId="166" fontId="5" fillId="7" borderId="9" xfId="0" applyNumberFormat="1" applyFont="1" applyFill="1" applyBorder="1" applyAlignment="1">
      <alignment horizontal="center" vertical="center"/>
    </xf>
    <xf numFmtId="167" fontId="6" fillId="3" borderId="0" xfId="0" applyNumberFormat="1" applyFont="1" applyFill="1" applyAlignment="1">
      <alignment vertical="center"/>
    </xf>
    <xf numFmtId="0" fontId="7" fillId="7" borderId="9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left" vertical="center"/>
    </xf>
    <xf numFmtId="0" fontId="4" fillId="5" borderId="13" xfId="0" applyFont="1" applyFill="1" applyBorder="1" applyAlignment="1">
      <alignment horizontal="left" vertical="center"/>
    </xf>
    <xf numFmtId="9" fontId="8" fillId="8" borderId="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" fillId="3" borderId="1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7" fillId="5" borderId="15" xfId="0" applyFont="1" applyFill="1" applyBorder="1" applyAlignment="1">
      <alignment horizontal="right" vertical="center"/>
    </xf>
    <xf numFmtId="164" fontId="7" fillId="5" borderId="15" xfId="0" applyNumberFormat="1" applyFont="1" applyFill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1" fillId="9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65" fontId="3" fillId="10" borderId="0" xfId="0" applyNumberFormat="1" applyFont="1" applyFill="1" applyAlignment="1">
      <alignment horizontal="left" vertical="center"/>
    </xf>
    <xf numFmtId="168" fontId="3" fillId="10" borderId="0" xfId="0" applyNumberFormat="1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Continuous"/>
    </xf>
    <xf numFmtId="0" fontId="4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65" fontId="11" fillId="0" borderId="10" xfId="0" applyNumberFormat="1" applyFont="1" applyBorder="1" applyAlignment="1">
      <alignment horizontal="center"/>
    </xf>
    <xf numFmtId="0" fontId="12" fillId="0" borderId="0" xfId="0" applyFont="1"/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3" fontId="5" fillId="0" borderId="21" xfId="0" applyNumberFormat="1" applyFont="1" applyBorder="1" applyAlignment="1">
      <alignment horizontal="center" vertical="center"/>
    </xf>
    <xf numFmtId="164" fontId="5" fillId="0" borderId="21" xfId="0" applyNumberFormat="1" applyFont="1" applyBorder="1" applyAlignment="1">
      <alignment horizontal="center" vertical="center"/>
    </xf>
    <xf numFmtId="165" fontId="5" fillId="0" borderId="21" xfId="0" applyNumberFormat="1" applyFont="1" applyBorder="1" applyAlignment="1">
      <alignment horizontal="center" vertical="center"/>
    </xf>
    <xf numFmtId="168" fontId="5" fillId="0" borderId="21" xfId="0" applyNumberFormat="1" applyFont="1" applyBorder="1" applyAlignment="1">
      <alignment horizontal="center" vertical="center"/>
    </xf>
    <xf numFmtId="164" fontId="5" fillId="0" borderId="2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1</xdr:row>
      <xdr:rowOff>60960</xdr:rowOff>
    </xdr:from>
    <xdr:to>
      <xdr:col>7</xdr:col>
      <xdr:colOff>190500</xdr:colOff>
      <xdr:row>5</xdr:row>
      <xdr:rowOff>116205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19</xdr:col>
      <xdr:colOff>30480</xdr:colOff>
      <xdr:row>1</xdr:row>
      <xdr:rowOff>60960</xdr:rowOff>
    </xdr:from>
    <xdr:to>
      <xdr:col>24</xdr:col>
      <xdr:colOff>262890</xdr:colOff>
      <xdr:row>5</xdr:row>
      <xdr:rowOff>109805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a1" displayName="Tabla1" ref="A1:R2" totalsRowShown="1" headerRowCount="0">
  <autoFilter ref="A1:R2">
    <filterColumn colId="0" hiddenButton="1"/>
  </autoFilter>
  <tableColumns count="1">
    <tableColumn id="1" name="TOM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R1158"/>
  <sheetViews>
    <sheetView workbookViewId="0" showRowColHeaders="0" showGridLines="0" zoomScale="85" zoomScaleNormal="85">
      <selection activeCell="AL33" sqref="AL33"/>
    </sheetView>
  </sheetViews>
  <sheetFormatPr defaultRowHeight="14" outlineLevelRow="0" outlineLevelCol="0" x14ac:dyDescent="0.3" defaultColWidth="4" customHeight="1"/>
  <cols>
    <col min="1" max="1" width="2.33203125" style="1" customWidth="1"/>
    <col min="2" max="17" width="4" style="2" customWidth="1"/>
    <col min="18" max="19" width="4" style="3" customWidth="1"/>
    <col min="20" max="20" width="3.83203125" style="2" customWidth="1"/>
    <col min="21" max="21" width="5.75" style="2" customWidth="1"/>
    <col min="22" max="22" width="5.33203125" style="2" customWidth="1"/>
    <col min="23" max="35" width="4" style="2" customWidth="1"/>
    <col min="36" max="38" width="4" style="4" customWidth="1"/>
    <col min="39" max="39" width="7.83203125" style="4" customWidth="1"/>
    <col min="40" max="226" width="4" style="4" customWidth="1"/>
    <col min="227" max="16384" width="4" style="2" customWidth="1"/>
  </cols>
  <sheetData>
    <row r="1" ht="10.9" customHeight="1" spans="35:226" s="1" customFormat="1" x14ac:dyDescent="0.25"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</row>
    <row r="2" spans="1:226" s="3" customFormat="1" x14ac:dyDescent="0.25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</row>
    <row r="3" spans="1:226" s="3" customFormat="1" x14ac:dyDescent="0.25">
      <c r="A3" s="1"/>
      <c r="B3" s="8"/>
      <c r="AI3" s="9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</row>
    <row r="4" spans="1:226" s="3" customFormat="1" x14ac:dyDescent="0.25">
      <c r="A4" s="1"/>
      <c r="B4" s="8"/>
      <c r="AI4" s="9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</row>
    <row r="5" spans="1:226" s="3" customFormat="1" x14ac:dyDescent="0.25">
      <c r="A5" s="1"/>
      <c r="B5" s="8"/>
      <c r="AI5" s="9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</row>
    <row r="6" spans="1:226" s="3" customFormat="1" x14ac:dyDescent="0.25">
      <c r="A6" s="1"/>
      <c r="B6" s="8"/>
      <c r="AI6" s="9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</row>
    <row r="7" ht="14.5" customHeight="1" spans="1:226" s="3" customFormat="1" x14ac:dyDescent="0.25">
      <c r="A7" s="1"/>
      <c r="B7" s="10"/>
      <c r="C7" s="11"/>
      <c r="D7" s="11"/>
      <c r="E7" s="11"/>
      <c r="F7" s="11"/>
      <c r="AI7" s="9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</row>
    <row r="8" ht="15" customHeight="1" spans="1:226" s="12" customFormat="1" x14ac:dyDescent="0.25">
      <c r="A8" s="13"/>
      <c r="B8" s="14"/>
      <c r="C8" s="15" t="s">
        <v>0</v>
      </c>
      <c r="D8" s="16"/>
      <c r="E8" s="16"/>
      <c r="F8" s="17"/>
      <c r="G8" s="18" t="s">
        <v>1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  <c r="S8" s="19"/>
      <c r="T8" s="15" t="s">
        <v>2</v>
      </c>
      <c r="U8" s="16"/>
      <c r="V8" s="16"/>
      <c r="W8" s="17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1"/>
      <c r="AJ8" s="22"/>
      <c r="AK8" s="22"/>
      <c r="AL8" s="22"/>
      <c r="AM8" s="22"/>
      <c r="AN8" s="22"/>
      <c r="AO8" s="4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</row>
    <row r="9" ht="15" customHeight="1" spans="1:226" s="12" customFormat="1" x14ac:dyDescent="0.25">
      <c r="A9" s="13"/>
      <c r="B9" s="14"/>
      <c r="C9" s="15" t="s">
        <v>3</v>
      </c>
      <c r="D9" s="16"/>
      <c r="E9" s="16"/>
      <c r="F9" s="17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9"/>
      <c r="S9" s="19"/>
      <c r="T9" s="15" t="s">
        <v>4</v>
      </c>
      <c r="U9" s="16"/>
      <c r="V9" s="16"/>
      <c r="W9" s="17"/>
      <c r="X9" s="23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21"/>
      <c r="AJ9" s="22"/>
      <c r="AK9" s="22"/>
      <c r="AL9" s="22"/>
      <c r="AM9" s="24"/>
      <c r="AN9" s="25" t="s">
        <v>5</v>
      </c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</row>
    <row r="10" ht="15" customHeight="1" spans="1:226" s="12" customFormat="1" x14ac:dyDescent="0.25">
      <c r="A10" s="13"/>
      <c r="B10" s="14"/>
      <c r="C10" s="15" t="s">
        <v>6</v>
      </c>
      <c r="D10" s="16"/>
      <c r="E10" s="16"/>
      <c r="F10" s="17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9"/>
      <c r="S10" s="19"/>
      <c r="T10" s="15" t="s">
        <v>7</v>
      </c>
      <c r="U10" s="16"/>
      <c r="V10" s="16"/>
      <c r="W10" s="17"/>
      <c r="X10" s="18" t="s">
        <v>8</v>
      </c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21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</row>
    <row r="11" ht="15" customHeight="1" spans="1:226" s="12" customFormat="1" x14ac:dyDescent="0.25">
      <c r="A11" s="13"/>
      <c r="B11" s="14"/>
      <c r="C11" s="15" t="s">
        <v>9</v>
      </c>
      <c r="D11" s="16"/>
      <c r="E11" s="16"/>
      <c r="F11" s="17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9"/>
      <c r="S11" s="19"/>
      <c r="T11" s="15" t="s">
        <v>10</v>
      </c>
      <c r="U11" s="16"/>
      <c r="V11" s="16"/>
      <c r="W11" s="17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1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</row>
    <row r="12" ht="15" customHeight="1" spans="1:226" s="12" customFormat="1" x14ac:dyDescent="0.25">
      <c r="A12" s="13"/>
      <c r="B12" s="14"/>
      <c r="C12" s="15" t="s">
        <v>11</v>
      </c>
      <c r="D12" s="16"/>
      <c r="E12" s="16"/>
      <c r="F12" s="17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9"/>
      <c r="S12" s="19"/>
      <c r="T12" s="15" t="s">
        <v>12</v>
      </c>
      <c r="U12" s="16"/>
      <c r="V12" s="16"/>
      <c r="W12" s="17"/>
      <c r="X12" s="18" t="s">
        <v>13</v>
      </c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1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</row>
    <row r="13" ht="14.5" customHeight="1" spans="1:226" s="3" customFormat="1" x14ac:dyDescent="0.25">
      <c r="A13" s="1"/>
      <c r="B13" s="8"/>
      <c r="T13" s="11"/>
      <c r="U13" s="11"/>
      <c r="V13" s="11"/>
      <c r="W13" s="11"/>
      <c r="AI13" s="9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</row>
    <row r="14" spans="1:226" s="27" customFormat="1" x14ac:dyDescent="0.25">
      <c r="A14" s="28"/>
      <c r="B14" s="29"/>
      <c r="C14" s="30" t="s">
        <v>14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1"/>
      <c r="S14" s="31"/>
      <c r="T14" s="30" t="s">
        <v>15</v>
      </c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2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/>
      <c r="HQ14" s="33"/>
      <c r="HR14" s="33"/>
    </row>
    <row r="15" spans="1:226" s="27" customFormat="1" x14ac:dyDescent="0.25">
      <c r="A15" s="28"/>
      <c r="B15" s="29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1"/>
      <c r="S15" s="31"/>
      <c r="AI15" s="32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/>
      <c r="HQ15" s="33"/>
      <c r="HR15" s="33"/>
    </row>
    <row r="16" spans="1:226" s="27" customFormat="1" x14ac:dyDescent="0.25">
      <c r="A16" s="28"/>
      <c r="B16" s="29"/>
      <c r="C16" s="35" t="s">
        <v>16</v>
      </c>
      <c r="D16" s="35" t="s">
        <v>17</v>
      </c>
      <c r="E16" s="35"/>
      <c r="F16" s="35"/>
      <c r="G16" s="35"/>
      <c r="H16" s="35"/>
      <c r="I16" s="35"/>
      <c r="J16" s="35"/>
      <c r="K16" s="35"/>
      <c r="L16" s="35"/>
      <c r="M16" s="35"/>
      <c r="N16" s="35" t="s">
        <v>18</v>
      </c>
      <c r="O16" s="35"/>
      <c r="P16" s="35"/>
      <c r="Q16" s="35"/>
      <c r="R16" s="31"/>
      <c r="S16" s="31"/>
      <c r="T16" s="35" t="s">
        <v>16</v>
      </c>
      <c r="U16" s="35" t="s">
        <v>17</v>
      </c>
      <c r="V16" s="35"/>
      <c r="W16" s="35"/>
      <c r="X16" s="35"/>
      <c r="Y16" s="35"/>
      <c r="Z16" s="35"/>
      <c r="AA16" s="35"/>
      <c r="AB16" s="35"/>
      <c r="AC16" s="35"/>
      <c r="AD16" s="35"/>
      <c r="AE16" s="35" t="s">
        <v>18</v>
      </c>
      <c r="AF16" s="35"/>
      <c r="AG16" s="35"/>
      <c r="AH16" s="35"/>
      <c r="AI16" s="32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</row>
    <row r="17" ht="14.5" customHeight="1" spans="2:35" x14ac:dyDescent="0.25">
      <c r="B17" s="36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8"/>
      <c r="S17" s="38"/>
      <c r="AI17" s="9"/>
    </row>
    <row r="18" ht="15" customHeight="1" spans="2:35" x14ac:dyDescent="0.25">
      <c r="B18" s="36"/>
      <c r="C18" s="39">
        <v>1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  <c r="O18" s="41"/>
      <c r="P18" s="41"/>
      <c r="Q18" s="41"/>
      <c r="R18" s="38"/>
      <c r="S18" s="38"/>
      <c r="T18" s="39">
        <v>1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1"/>
      <c r="AF18" s="41"/>
      <c r="AG18" s="41"/>
      <c r="AH18" s="41"/>
      <c r="AI18" s="9"/>
    </row>
    <row r="19" ht="15" customHeight="1" spans="2:35" x14ac:dyDescent="0.25">
      <c r="B19" s="36"/>
      <c r="C19" s="39">
        <v>2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/>
      <c r="O19" s="41"/>
      <c r="P19" s="41"/>
      <c r="Q19" s="41"/>
      <c r="R19" s="38"/>
      <c r="S19" s="38"/>
      <c r="T19" s="39">
        <v>2</v>
      </c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1"/>
      <c r="AF19" s="41"/>
      <c r="AG19" s="41"/>
      <c r="AH19" s="41"/>
      <c r="AI19" s="9"/>
    </row>
    <row r="20" ht="15" customHeight="1" spans="2:35" x14ac:dyDescent="0.25">
      <c r="B20" s="36"/>
      <c r="C20" s="39">
        <v>3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1"/>
      <c r="O20" s="41"/>
      <c r="P20" s="41"/>
      <c r="Q20" s="41"/>
      <c r="R20" s="38"/>
      <c r="S20" s="38"/>
      <c r="T20" s="39">
        <v>3</v>
      </c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1"/>
      <c r="AF20" s="41"/>
      <c r="AG20" s="41"/>
      <c r="AH20" s="41"/>
      <c r="AI20" s="9"/>
    </row>
    <row r="21" ht="15" customHeight="1" spans="2:35" x14ac:dyDescent="0.25">
      <c r="B21" s="36"/>
      <c r="C21" s="39">
        <v>4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/>
      <c r="O21" s="41"/>
      <c r="P21" s="41"/>
      <c r="Q21" s="41"/>
      <c r="R21" s="38"/>
      <c r="S21" s="38"/>
      <c r="T21" s="39">
        <v>4</v>
      </c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1"/>
      <c r="AF21" s="41"/>
      <c r="AG21" s="41"/>
      <c r="AH21" s="41"/>
      <c r="AI21" s="9"/>
    </row>
    <row r="22" ht="15" customHeight="1" spans="2:35" x14ac:dyDescent="0.25">
      <c r="B22" s="36"/>
      <c r="C22" s="39">
        <v>5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1"/>
      <c r="O22" s="41"/>
      <c r="P22" s="41"/>
      <c r="Q22" s="41"/>
      <c r="R22" s="38"/>
      <c r="S22" s="38"/>
      <c r="T22" s="39">
        <v>5</v>
      </c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1"/>
      <c r="AF22" s="41"/>
      <c r="AG22" s="41"/>
      <c r="AH22" s="41"/>
      <c r="AI22" s="9"/>
    </row>
    <row r="23" ht="15" customHeight="1" spans="2:35" x14ac:dyDescent="0.25">
      <c r="B23" s="36"/>
      <c r="C23" s="39">
        <v>6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1"/>
      <c r="O23" s="41"/>
      <c r="P23" s="41"/>
      <c r="Q23" s="41"/>
      <c r="R23" s="38"/>
      <c r="S23" s="38"/>
      <c r="T23" s="39">
        <v>6</v>
      </c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1"/>
      <c r="AF23" s="41"/>
      <c r="AG23" s="41"/>
      <c r="AH23" s="41"/>
      <c r="AI23" s="9"/>
    </row>
    <row r="24" ht="15" customHeight="1" spans="2:35" x14ac:dyDescent="0.25">
      <c r="B24" s="36"/>
      <c r="C24" s="39">
        <v>7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1"/>
      <c r="O24" s="41"/>
      <c r="P24" s="41"/>
      <c r="Q24" s="41"/>
      <c r="R24" s="38"/>
      <c r="S24" s="38"/>
      <c r="T24" s="39">
        <v>7</v>
      </c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1"/>
      <c r="AF24" s="41"/>
      <c r="AG24" s="41"/>
      <c r="AH24" s="41"/>
      <c r="AI24" s="9"/>
    </row>
    <row r="25" ht="15" customHeight="1" spans="2:35" x14ac:dyDescent="0.25">
      <c r="B25" s="36"/>
      <c r="C25" s="39">
        <v>8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1"/>
      <c r="O25" s="41"/>
      <c r="P25" s="41"/>
      <c r="Q25" s="41"/>
      <c r="R25" s="38"/>
      <c r="S25" s="38"/>
      <c r="T25" s="39">
        <v>8</v>
      </c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1"/>
      <c r="AF25" s="41"/>
      <c r="AG25" s="41"/>
      <c r="AH25" s="41"/>
      <c r="AI25" s="9"/>
    </row>
    <row r="26" ht="15" customHeight="1" spans="2:35" x14ac:dyDescent="0.25">
      <c r="B26" s="36"/>
      <c r="C26" s="39">
        <v>9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1"/>
      <c r="O26" s="41"/>
      <c r="P26" s="41"/>
      <c r="Q26" s="41"/>
      <c r="R26" s="38"/>
      <c r="S26" s="38"/>
      <c r="T26" s="39">
        <v>9</v>
      </c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1"/>
      <c r="AF26" s="41"/>
      <c r="AG26" s="41"/>
      <c r="AH26" s="41"/>
      <c r="AI26" s="9"/>
    </row>
    <row r="27" ht="15" customHeight="1" spans="2:35" x14ac:dyDescent="0.25">
      <c r="B27" s="36"/>
      <c r="C27" s="39">
        <v>10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1"/>
      <c r="O27" s="41"/>
      <c r="P27" s="41"/>
      <c r="Q27" s="41"/>
      <c r="R27" s="38"/>
      <c r="S27" s="38"/>
      <c r="T27" s="39">
        <v>10</v>
      </c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1"/>
      <c r="AF27" s="41"/>
      <c r="AG27" s="41"/>
      <c r="AH27" s="41"/>
      <c r="AI27" s="9"/>
    </row>
    <row r="28" ht="15" customHeight="1" spans="2:35" x14ac:dyDescent="0.25">
      <c r="B28" s="36"/>
      <c r="C28" s="42" t="s">
        <v>19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3">
        <f>SUM(N18:Q27)</f>
        <v>2800000</v>
      </c>
      <c r="O28" s="43"/>
      <c r="P28" s="43"/>
      <c r="Q28" s="43"/>
      <c r="R28" s="38"/>
      <c r="S28" s="38"/>
      <c r="T28" s="42" t="s">
        <v>19</v>
      </c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3">
        <f>SUM(AE18:AH27)</f>
        <v>5000000</v>
      </c>
      <c r="AF28" s="43"/>
      <c r="AG28" s="43"/>
      <c r="AH28" s="43"/>
      <c r="AI28" s="9"/>
    </row>
    <row r="29" ht="15" customHeight="1" spans="1:226" s="3" customFormat="1" x14ac:dyDescent="0.25">
      <c r="A29" s="1"/>
      <c r="B29" s="8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44"/>
      <c r="O29" s="44"/>
      <c r="P29" s="44"/>
      <c r="Q29" s="44"/>
      <c r="R29" s="38"/>
      <c r="S29" s="38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44"/>
      <c r="AF29" s="44"/>
      <c r="AG29" s="44"/>
      <c r="AH29" s="44"/>
      <c r="AI29" s="9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</row>
    <row r="30" ht="15" customHeight="1" spans="1:226" s="3" customFormat="1" x14ac:dyDescent="0.25">
      <c r="A30" s="1"/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38"/>
      <c r="S30" s="38"/>
      <c r="T30" s="42" t="s">
        <v>20</v>
      </c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5">
        <f>SUM(N28+AE28)</f>
        <v>7800000</v>
      </c>
      <c r="AF30" s="45"/>
      <c r="AG30" s="45"/>
      <c r="AH30" s="45"/>
      <c r="AI30" s="9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</row>
    <row r="31" ht="15" customHeight="1" spans="2:35" x14ac:dyDescent="0.25">
      <c r="B31" s="36"/>
      <c r="R31" s="38"/>
      <c r="S31" s="38"/>
      <c r="T31" s="42" t="s">
        <v>21</v>
      </c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5">
        <f>MAX(F35*H34,AE30*0.1)</f>
        <v>1313178.75</v>
      </c>
      <c r="AF31" s="45"/>
      <c r="AG31" s="45"/>
      <c r="AH31" s="45"/>
      <c r="AI31" s="9"/>
    </row>
    <row r="32" ht="15" customHeight="1" spans="2:35" x14ac:dyDescent="0.25">
      <c r="B32" s="36"/>
      <c r="C32" s="12"/>
      <c r="D32" s="12"/>
      <c r="E32" s="12"/>
      <c r="F32" s="12"/>
      <c r="G32" s="12"/>
      <c r="T32" s="42" t="s">
        <v>22</v>
      </c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5">
        <f>IF(AE30+AE31&lt;0,0,AE30-AE31)</f>
        <v>6486821.25</v>
      </c>
      <c r="AF32" s="45"/>
      <c r="AG32" s="45"/>
      <c r="AH32" s="45"/>
      <c r="AI32" s="9"/>
    </row>
    <row r="33" ht="15" customHeight="1" spans="2:35" x14ac:dyDescent="0.25">
      <c r="B33" s="36"/>
      <c r="C33" s="46" t="s">
        <v>23</v>
      </c>
      <c r="D33" s="47"/>
      <c r="E33" s="47"/>
      <c r="F33" s="47"/>
      <c r="G33" s="48"/>
      <c r="H33" s="49">
        <v>0</v>
      </c>
      <c r="I33" s="50"/>
      <c r="J33" s="50"/>
      <c r="K33" s="51"/>
      <c r="T33" s="42" t="s">
        <v>24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5">
        <f>+H33</f>
        <v>0</v>
      </c>
      <c r="AF33" s="45"/>
      <c r="AG33" s="45"/>
      <c r="AH33" s="45"/>
      <c r="AI33" s="9"/>
    </row>
    <row r="34" ht="15" customHeight="1" spans="2:35" x14ac:dyDescent="0.25">
      <c r="B34" s="36"/>
      <c r="C34" s="46" t="s">
        <v>25</v>
      </c>
      <c r="D34" s="47"/>
      <c r="E34" s="48"/>
      <c r="F34" s="52">
        <v>2026</v>
      </c>
      <c r="G34" s="53"/>
      <c r="H34" s="54">
        <f>_xlfn.XLOOKUP(F34,Bases!B:B,Bases!C:C)</f>
        <v>1750905</v>
      </c>
      <c r="I34" s="55"/>
      <c r="J34" s="55"/>
      <c r="K34" s="56"/>
      <c r="T34" s="42" t="s">
        <v>26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5">
        <f>SUM(AE33+AE32)</f>
        <v>6486821.25</v>
      </c>
      <c r="AF34" s="45"/>
      <c r="AG34" s="45"/>
      <c r="AH34" s="45"/>
      <c r="AI34" s="9"/>
    </row>
    <row r="35" ht="16" customHeight="1" spans="2:35" x14ac:dyDescent="0.25">
      <c r="B35" s="8"/>
      <c r="C35" s="57" t="s">
        <v>27</v>
      </c>
      <c r="D35" s="57"/>
      <c r="E35" s="58"/>
      <c r="F35" s="59">
        <v>0.75</v>
      </c>
      <c r="G35" s="60"/>
      <c r="H35" s="61">
        <f>(H34*F35)</f>
        <v>1313178.75</v>
      </c>
      <c r="I35" s="61"/>
      <c r="J35" s="61"/>
      <c r="K35" s="61"/>
      <c r="M35" s="62"/>
      <c r="N35" s="62"/>
      <c r="O35" s="62"/>
      <c r="P35" s="62"/>
      <c r="Q35" s="62"/>
      <c r="R35" s="62"/>
      <c r="S35" s="62"/>
      <c r="T35" s="63" t="s">
        <v>28</v>
      </c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9"/>
    </row>
    <row r="36" ht="15" customHeight="1" spans="2:35" x14ac:dyDescent="0.25">
      <c r="B36" s="8"/>
      <c r="C36" s="64"/>
      <c r="D36" s="64"/>
      <c r="E36" s="65"/>
      <c r="F36" s="66">
        <v>0.1</v>
      </c>
      <c r="G36" s="66"/>
      <c r="H36" s="61">
        <f>(AE30*F36)</f>
        <v>780000</v>
      </c>
      <c r="I36" s="61"/>
      <c r="J36" s="61"/>
      <c r="K36" s="61"/>
      <c r="L36" s="3"/>
      <c r="M36" s="3"/>
      <c r="N36" s="3"/>
      <c r="O36" s="3"/>
      <c r="P36" s="3"/>
      <c r="Q36" s="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9"/>
    </row>
    <row r="37" ht="14.5" customHeight="1" spans="2:35" x14ac:dyDescent="0.25">
      <c r="B37" s="8"/>
      <c r="C37" s="67"/>
      <c r="D37" s="67"/>
      <c r="E37" s="67"/>
      <c r="F37" s="67"/>
      <c r="G37" s="67"/>
      <c r="H37" s="68"/>
      <c r="I37" s="68"/>
      <c r="J37" s="68"/>
      <c r="K37" s="68"/>
      <c r="L37" s="3"/>
      <c r="M37" s="3"/>
      <c r="N37" s="3"/>
      <c r="O37" s="3"/>
      <c r="P37" s="3"/>
      <c r="Q37" s="3"/>
      <c r="AI37" s="9"/>
    </row>
    <row r="38" ht="14.5" customHeight="1" spans="2:226" s="1" customFormat="1" x14ac:dyDescent="0.25">
      <c r="B38" s="69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1" t="s">
        <v>29</v>
      </c>
      <c r="Y38" s="71"/>
      <c r="Z38" s="71"/>
      <c r="AA38" s="72">
        <f>TODAY()</f>
        <v>46066</v>
      </c>
      <c r="AB38" s="72"/>
      <c r="AC38" s="72"/>
      <c r="AD38" s="72"/>
      <c r="AE38" s="72"/>
      <c r="AF38" s="72"/>
      <c r="AG38" s="72"/>
      <c r="AH38" s="72"/>
      <c r="AI38" s="73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</row>
    <row r="931" spans="36:226" s="74" customFormat="1" x14ac:dyDescent="0.25"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  <c r="HI931" s="4"/>
      <c r="HJ931" s="4"/>
      <c r="HK931" s="4"/>
      <c r="HL931" s="4"/>
      <c r="HM931" s="4"/>
      <c r="HN931" s="4"/>
      <c r="HO931" s="4"/>
      <c r="HP931" s="4"/>
      <c r="HQ931" s="4"/>
      <c r="HR931" s="4"/>
    </row>
    <row r="932" spans="36:226" s="74" customFormat="1" x14ac:dyDescent="0.25"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  <c r="HI932" s="4"/>
      <c r="HJ932" s="4"/>
      <c r="HK932" s="4"/>
      <c r="HL932" s="4"/>
      <c r="HM932" s="4"/>
      <c r="HN932" s="4"/>
      <c r="HO932" s="4"/>
      <c r="HP932" s="4"/>
      <c r="HQ932" s="4"/>
      <c r="HR932" s="4"/>
    </row>
    <row r="933" spans="36:226" s="74" customFormat="1" x14ac:dyDescent="0.25"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  <c r="HI933" s="4"/>
      <c r="HJ933" s="4"/>
      <c r="HK933" s="4"/>
      <c r="HL933" s="4"/>
      <c r="HM933" s="4"/>
      <c r="HN933" s="4"/>
      <c r="HO933" s="4"/>
      <c r="HP933" s="4"/>
      <c r="HQ933" s="4"/>
      <c r="HR933" s="4"/>
    </row>
    <row r="934" spans="36:226" s="74" customFormat="1" x14ac:dyDescent="0.25"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  <c r="HI934" s="4"/>
      <c r="HJ934" s="4"/>
      <c r="HK934" s="4"/>
      <c r="HL934" s="4"/>
      <c r="HM934" s="4"/>
      <c r="HN934" s="4"/>
      <c r="HO934" s="4"/>
      <c r="HP934" s="4"/>
      <c r="HQ934" s="4"/>
      <c r="HR934" s="4"/>
    </row>
    <row r="935" spans="36:226" s="74" customFormat="1" x14ac:dyDescent="0.25"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  <c r="HI935" s="4"/>
      <c r="HJ935" s="4"/>
      <c r="HK935" s="4"/>
      <c r="HL935" s="4"/>
      <c r="HM935" s="4"/>
      <c r="HN935" s="4"/>
      <c r="HO935" s="4"/>
      <c r="HP935" s="4"/>
      <c r="HQ935" s="4"/>
      <c r="HR935" s="4"/>
    </row>
    <row r="936" spans="36:226" s="74" customFormat="1" x14ac:dyDescent="0.25"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  <c r="HI936" s="4"/>
      <c r="HJ936" s="4"/>
      <c r="HK936" s="4"/>
      <c r="HL936" s="4"/>
      <c r="HM936" s="4"/>
      <c r="HN936" s="4"/>
      <c r="HO936" s="4"/>
      <c r="HP936" s="4"/>
      <c r="HQ936" s="4"/>
      <c r="HR936" s="4"/>
    </row>
    <row r="937" spans="36:226" s="74" customFormat="1" x14ac:dyDescent="0.25"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  <c r="HI937" s="4"/>
      <c r="HJ937" s="4"/>
      <c r="HK937" s="4"/>
      <c r="HL937" s="4"/>
      <c r="HM937" s="4"/>
      <c r="HN937" s="4"/>
      <c r="HO937" s="4"/>
      <c r="HP937" s="4"/>
      <c r="HQ937" s="4"/>
      <c r="HR937" s="4"/>
    </row>
    <row r="938" spans="36:226" s="74" customFormat="1" x14ac:dyDescent="0.25"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  <c r="HI938" s="4"/>
      <c r="HJ938" s="4"/>
      <c r="HK938" s="4"/>
      <c r="HL938" s="4"/>
      <c r="HM938" s="4"/>
      <c r="HN938" s="4"/>
      <c r="HO938" s="4"/>
      <c r="HP938" s="4"/>
      <c r="HQ938" s="4"/>
      <c r="HR938" s="4"/>
    </row>
    <row r="939" spans="36:226" s="74" customFormat="1" x14ac:dyDescent="0.25"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  <c r="HI939" s="4"/>
      <c r="HJ939" s="4"/>
      <c r="HK939" s="4"/>
      <c r="HL939" s="4"/>
      <c r="HM939" s="4"/>
      <c r="HN939" s="4"/>
      <c r="HO939" s="4"/>
      <c r="HP939" s="4"/>
      <c r="HQ939" s="4"/>
      <c r="HR939" s="4"/>
    </row>
    <row r="940" spans="36:226" s="74" customFormat="1" x14ac:dyDescent="0.25"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  <c r="HI940" s="4"/>
      <c r="HJ940" s="4"/>
      <c r="HK940" s="4"/>
      <c r="HL940" s="4"/>
      <c r="HM940" s="4"/>
      <c r="HN940" s="4"/>
      <c r="HO940" s="4"/>
      <c r="HP940" s="4"/>
      <c r="HQ940" s="4"/>
      <c r="HR940" s="4"/>
    </row>
    <row r="941" spans="36:226" s="74" customFormat="1" x14ac:dyDescent="0.25"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  <c r="HI941" s="4"/>
      <c r="HJ941" s="4"/>
      <c r="HK941" s="4"/>
      <c r="HL941" s="4"/>
      <c r="HM941" s="4"/>
      <c r="HN941" s="4"/>
      <c r="HO941" s="4"/>
      <c r="HP941" s="4"/>
      <c r="HQ941" s="4"/>
      <c r="HR941" s="4"/>
    </row>
    <row r="942" spans="36:226" s="74" customFormat="1" x14ac:dyDescent="0.25"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  <c r="HI942" s="4"/>
      <c r="HJ942" s="4"/>
      <c r="HK942" s="4"/>
      <c r="HL942" s="4"/>
      <c r="HM942" s="4"/>
      <c r="HN942" s="4"/>
      <c r="HO942" s="4"/>
      <c r="HP942" s="4"/>
      <c r="HQ942" s="4"/>
      <c r="HR942" s="4"/>
    </row>
    <row r="943" spans="36:226" s="74" customFormat="1" x14ac:dyDescent="0.25"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  <c r="HI943" s="4"/>
      <c r="HJ943" s="4"/>
      <c r="HK943" s="4"/>
      <c r="HL943" s="4"/>
      <c r="HM943" s="4"/>
      <c r="HN943" s="4"/>
      <c r="HO943" s="4"/>
      <c r="HP943" s="4"/>
      <c r="HQ943" s="4"/>
      <c r="HR943" s="4"/>
    </row>
    <row r="944" spans="36:226" s="74" customFormat="1" x14ac:dyDescent="0.25"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  <c r="HI944" s="4"/>
      <c r="HJ944" s="4"/>
      <c r="HK944" s="4"/>
      <c r="HL944" s="4"/>
      <c r="HM944" s="4"/>
      <c r="HN944" s="4"/>
      <c r="HO944" s="4"/>
      <c r="HP944" s="4"/>
      <c r="HQ944" s="4"/>
      <c r="HR944" s="4"/>
    </row>
    <row r="945" spans="36:226" s="74" customFormat="1" x14ac:dyDescent="0.25"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  <c r="HI945" s="4"/>
      <c r="HJ945" s="4"/>
      <c r="HK945" s="4"/>
      <c r="HL945" s="4"/>
      <c r="HM945" s="4"/>
      <c r="HN945" s="4"/>
      <c r="HO945" s="4"/>
      <c r="HP945" s="4"/>
      <c r="HQ945" s="4"/>
      <c r="HR945" s="4"/>
    </row>
    <row r="946" spans="36:226" s="74" customFormat="1" x14ac:dyDescent="0.25"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  <c r="HI946" s="4"/>
      <c r="HJ946" s="4"/>
      <c r="HK946" s="4"/>
      <c r="HL946" s="4"/>
      <c r="HM946" s="4"/>
      <c r="HN946" s="4"/>
      <c r="HO946" s="4"/>
      <c r="HP946" s="4"/>
      <c r="HQ946" s="4"/>
      <c r="HR946" s="4"/>
    </row>
    <row r="947" spans="36:226" s="74" customFormat="1" x14ac:dyDescent="0.25"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  <c r="HI947" s="4"/>
      <c r="HJ947" s="4"/>
      <c r="HK947" s="4"/>
      <c r="HL947" s="4"/>
      <c r="HM947" s="4"/>
      <c r="HN947" s="4"/>
      <c r="HO947" s="4"/>
      <c r="HP947" s="4"/>
      <c r="HQ947" s="4"/>
      <c r="HR947" s="4"/>
    </row>
    <row r="948" spans="36:226" s="74" customFormat="1" x14ac:dyDescent="0.25"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  <c r="HI948" s="4"/>
      <c r="HJ948" s="4"/>
      <c r="HK948" s="4"/>
      <c r="HL948" s="4"/>
      <c r="HM948" s="4"/>
      <c r="HN948" s="4"/>
      <c r="HO948" s="4"/>
      <c r="HP948" s="4"/>
      <c r="HQ948" s="4"/>
      <c r="HR948" s="4"/>
    </row>
    <row r="949" spans="36:226" s="74" customFormat="1" x14ac:dyDescent="0.25"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  <c r="HI949" s="4"/>
      <c r="HJ949" s="4"/>
      <c r="HK949" s="4"/>
      <c r="HL949" s="4"/>
      <c r="HM949" s="4"/>
      <c r="HN949" s="4"/>
      <c r="HO949" s="4"/>
      <c r="HP949" s="4"/>
      <c r="HQ949" s="4"/>
      <c r="HR949" s="4"/>
    </row>
    <row r="950" spans="36:226" s="74" customFormat="1" x14ac:dyDescent="0.25"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  <c r="HI950" s="4"/>
      <c r="HJ950" s="4"/>
      <c r="HK950" s="4"/>
      <c r="HL950" s="4"/>
      <c r="HM950" s="4"/>
      <c r="HN950" s="4"/>
      <c r="HO950" s="4"/>
      <c r="HP950" s="4"/>
      <c r="HQ950" s="4"/>
      <c r="HR950" s="4"/>
    </row>
    <row r="951" spans="36:226" s="74" customFormat="1" x14ac:dyDescent="0.25"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  <c r="HI951" s="4"/>
      <c r="HJ951" s="4"/>
      <c r="HK951" s="4"/>
      <c r="HL951" s="4"/>
      <c r="HM951" s="4"/>
      <c r="HN951" s="4"/>
      <c r="HO951" s="4"/>
      <c r="HP951" s="4"/>
      <c r="HQ951" s="4"/>
      <c r="HR951" s="4"/>
    </row>
    <row r="952" spans="36:226" s="74" customFormat="1" x14ac:dyDescent="0.25"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  <c r="HI952" s="4"/>
      <c r="HJ952" s="4"/>
      <c r="HK952" s="4"/>
      <c r="HL952" s="4"/>
      <c r="HM952" s="4"/>
      <c r="HN952" s="4"/>
      <c r="HO952" s="4"/>
      <c r="HP952" s="4"/>
      <c r="HQ952" s="4"/>
      <c r="HR952" s="4"/>
    </row>
    <row r="953" spans="36:226" s="74" customFormat="1" x14ac:dyDescent="0.25"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  <c r="HI953" s="4"/>
      <c r="HJ953" s="4"/>
      <c r="HK953" s="4"/>
      <c r="HL953" s="4"/>
      <c r="HM953" s="4"/>
      <c r="HN953" s="4"/>
      <c r="HO953" s="4"/>
      <c r="HP953" s="4"/>
      <c r="HQ953" s="4"/>
      <c r="HR953" s="4"/>
    </row>
    <row r="954" spans="36:226" s="74" customFormat="1" x14ac:dyDescent="0.25"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  <c r="HI954" s="4"/>
      <c r="HJ954" s="4"/>
      <c r="HK954" s="4"/>
      <c r="HL954" s="4"/>
      <c r="HM954" s="4"/>
      <c r="HN954" s="4"/>
      <c r="HO954" s="4"/>
      <c r="HP954" s="4"/>
      <c r="HQ954" s="4"/>
      <c r="HR954" s="4"/>
    </row>
    <row r="955" spans="36:226" s="74" customFormat="1" x14ac:dyDescent="0.25"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  <c r="HI955" s="4"/>
      <c r="HJ955" s="4"/>
      <c r="HK955" s="4"/>
      <c r="HL955" s="4"/>
      <c r="HM955" s="4"/>
      <c r="HN955" s="4"/>
      <c r="HO955" s="4"/>
      <c r="HP955" s="4"/>
      <c r="HQ955" s="4"/>
      <c r="HR955" s="4"/>
    </row>
    <row r="956" spans="36:226" s="74" customFormat="1" x14ac:dyDescent="0.25"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  <c r="HI956" s="4"/>
      <c r="HJ956" s="4"/>
      <c r="HK956" s="4"/>
      <c r="HL956" s="4"/>
      <c r="HM956" s="4"/>
      <c r="HN956" s="4"/>
      <c r="HO956" s="4"/>
      <c r="HP956" s="4"/>
      <c r="HQ956" s="4"/>
      <c r="HR956" s="4"/>
    </row>
    <row r="957" spans="36:226" s="74" customFormat="1" x14ac:dyDescent="0.25"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  <c r="HI957" s="4"/>
      <c r="HJ957" s="4"/>
      <c r="HK957" s="4"/>
      <c r="HL957" s="4"/>
      <c r="HM957" s="4"/>
      <c r="HN957" s="4"/>
      <c r="HO957" s="4"/>
      <c r="HP957" s="4"/>
      <c r="HQ957" s="4"/>
      <c r="HR957" s="4"/>
    </row>
    <row r="958" spans="36:226" s="74" customFormat="1" x14ac:dyDescent="0.25"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  <c r="HI958" s="4"/>
      <c r="HJ958" s="4"/>
      <c r="HK958" s="4"/>
      <c r="HL958" s="4"/>
      <c r="HM958" s="4"/>
      <c r="HN958" s="4"/>
      <c r="HO958" s="4"/>
      <c r="HP958" s="4"/>
      <c r="HQ958" s="4"/>
      <c r="HR958" s="4"/>
    </row>
    <row r="959" spans="36:226" s="74" customFormat="1" x14ac:dyDescent="0.25"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  <c r="HI959" s="4"/>
      <c r="HJ959" s="4"/>
      <c r="HK959" s="4"/>
      <c r="HL959" s="4"/>
      <c r="HM959" s="4"/>
      <c r="HN959" s="4"/>
      <c r="HO959" s="4"/>
      <c r="HP959" s="4"/>
      <c r="HQ959" s="4"/>
      <c r="HR959" s="4"/>
    </row>
    <row r="960" spans="36:226" s="74" customFormat="1" x14ac:dyDescent="0.25"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  <c r="HI960" s="4"/>
      <c r="HJ960" s="4"/>
      <c r="HK960" s="4"/>
      <c r="HL960" s="4"/>
      <c r="HM960" s="4"/>
      <c r="HN960" s="4"/>
      <c r="HO960" s="4"/>
      <c r="HP960" s="4"/>
      <c r="HQ960" s="4"/>
      <c r="HR960" s="4"/>
    </row>
    <row r="961" spans="36:226" s="74" customFormat="1" x14ac:dyDescent="0.25"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  <c r="HI961" s="4"/>
      <c r="HJ961" s="4"/>
      <c r="HK961" s="4"/>
      <c r="HL961" s="4"/>
      <c r="HM961" s="4"/>
      <c r="HN961" s="4"/>
      <c r="HO961" s="4"/>
      <c r="HP961" s="4"/>
      <c r="HQ961" s="4"/>
      <c r="HR961" s="4"/>
    </row>
    <row r="962" spans="36:226" s="74" customFormat="1" x14ac:dyDescent="0.25"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  <c r="HI962" s="4"/>
      <c r="HJ962" s="4"/>
      <c r="HK962" s="4"/>
      <c r="HL962" s="4"/>
      <c r="HM962" s="4"/>
      <c r="HN962" s="4"/>
      <c r="HO962" s="4"/>
      <c r="HP962" s="4"/>
      <c r="HQ962" s="4"/>
      <c r="HR962" s="4"/>
    </row>
    <row r="963" spans="36:226" s="74" customFormat="1" x14ac:dyDescent="0.25"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  <c r="HI963" s="4"/>
      <c r="HJ963" s="4"/>
      <c r="HK963" s="4"/>
      <c r="HL963" s="4"/>
      <c r="HM963" s="4"/>
      <c r="HN963" s="4"/>
      <c r="HO963" s="4"/>
      <c r="HP963" s="4"/>
      <c r="HQ963" s="4"/>
      <c r="HR963" s="4"/>
    </row>
    <row r="964" spans="36:226" s="74" customFormat="1" x14ac:dyDescent="0.25"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  <c r="HI964" s="4"/>
      <c r="HJ964" s="4"/>
      <c r="HK964" s="4"/>
      <c r="HL964" s="4"/>
      <c r="HM964" s="4"/>
      <c r="HN964" s="4"/>
      <c r="HO964" s="4"/>
      <c r="HP964" s="4"/>
      <c r="HQ964" s="4"/>
      <c r="HR964" s="4"/>
    </row>
    <row r="965" spans="36:226" s="74" customFormat="1" x14ac:dyDescent="0.25"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  <c r="HI965" s="4"/>
      <c r="HJ965" s="4"/>
      <c r="HK965" s="4"/>
      <c r="HL965" s="4"/>
      <c r="HM965" s="4"/>
      <c r="HN965" s="4"/>
      <c r="HO965" s="4"/>
      <c r="HP965" s="4"/>
      <c r="HQ965" s="4"/>
      <c r="HR965" s="4"/>
    </row>
    <row r="966" spans="36:226" s="74" customFormat="1" x14ac:dyDescent="0.25"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  <c r="HI966" s="4"/>
      <c r="HJ966" s="4"/>
      <c r="HK966" s="4"/>
      <c r="HL966" s="4"/>
      <c r="HM966" s="4"/>
      <c r="HN966" s="4"/>
      <c r="HO966" s="4"/>
      <c r="HP966" s="4"/>
      <c r="HQ966" s="4"/>
      <c r="HR966" s="4"/>
    </row>
    <row r="967" spans="36:226" s="74" customFormat="1" x14ac:dyDescent="0.25"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  <c r="HI967" s="4"/>
      <c r="HJ967" s="4"/>
      <c r="HK967" s="4"/>
      <c r="HL967" s="4"/>
      <c r="HM967" s="4"/>
      <c r="HN967" s="4"/>
      <c r="HO967" s="4"/>
      <c r="HP967" s="4"/>
      <c r="HQ967" s="4"/>
      <c r="HR967" s="4"/>
    </row>
    <row r="968" spans="36:226" s="74" customFormat="1" x14ac:dyDescent="0.25"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  <c r="HI968" s="4"/>
      <c r="HJ968" s="4"/>
      <c r="HK968" s="4"/>
      <c r="HL968" s="4"/>
      <c r="HM968" s="4"/>
      <c r="HN968" s="4"/>
      <c r="HO968" s="4"/>
      <c r="HP968" s="4"/>
      <c r="HQ968" s="4"/>
      <c r="HR968" s="4"/>
    </row>
    <row r="969" spans="36:226" s="74" customFormat="1" x14ac:dyDescent="0.25"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  <c r="HI969" s="4"/>
      <c r="HJ969" s="4"/>
      <c r="HK969" s="4"/>
      <c r="HL969" s="4"/>
      <c r="HM969" s="4"/>
      <c r="HN969" s="4"/>
      <c r="HO969" s="4"/>
      <c r="HP969" s="4"/>
      <c r="HQ969" s="4"/>
      <c r="HR969" s="4"/>
    </row>
    <row r="970" spans="36:226" s="74" customFormat="1" x14ac:dyDescent="0.25"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  <c r="HI970" s="4"/>
      <c r="HJ970" s="4"/>
      <c r="HK970" s="4"/>
      <c r="HL970" s="4"/>
      <c r="HM970" s="4"/>
      <c r="HN970" s="4"/>
      <c r="HO970" s="4"/>
      <c r="HP970" s="4"/>
      <c r="HQ970" s="4"/>
      <c r="HR970" s="4"/>
    </row>
    <row r="971" spans="36:226" s="74" customFormat="1" x14ac:dyDescent="0.25"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  <c r="HI971" s="4"/>
      <c r="HJ971" s="4"/>
      <c r="HK971" s="4"/>
      <c r="HL971" s="4"/>
      <c r="HM971" s="4"/>
      <c r="HN971" s="4"/>
      <c r="HO971" s="4"/>
      <c r="HP971" s="4"/>
      <c r="HQ971" s="4"/>
      <c r="HR971" s="4"/>
    </row>
    <row r="972" spans="36:226" s="74" customFormat="1" x14ac:dyDescent="0.25"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  <c r="HI972" s="4"/>
      <c r="HJ972" s="4"/>
      <c r="HK972" s="4"/>
      <c r="HL972" s="4"/>
      <c r="HM972" s="4"/>
      <c r="HN972" s="4"/>
      <c r="HO972" s="4"/>
      <c r="HP972" s="4"/>
      <c r="HQ972" s="4"/>
      <c r="HR972" s="4"/>
    </row>
    <row r="973" spans="36:226" s="74" customFormat="1" x14ac:dyDescent="0.25"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  <c r="HI973" s="4"/>
      <c r="HJ973" s="4"/>
      <c r="HK973" s="4"/>
      <c r="HL973" s="4"/>
      <c r="HM973" s="4"/>
      <c r="HN973" s="4"/>
      <c r="HO973" s="4"/>
      <c r="HP973" s="4"/>
      <c r="HQ973" s="4"/>
      <c r="HR973" s="4"/>
    </row>
    <row r="974" spans="36:226" s="74" customFormat="1" x14ac:dyDescent="0.25"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  <c r="HI974" s="4"/>
      <c r="HJ974" s="4"/>
      <c r="HK974" s="4"/>
      <c r="HL974" s="4"/>
      <c r="HM974" s="4"/>
      <c r="HN974" s="4"/>
      <c r="HO974" s="4"/>
      <c r="HP974" s="4"/>
      <c r="HQ974" s="4"/>
      <c r="HR974" s="4"/>
    </row>
    <row r="975" spans="36:226" s="74" customFormat="1" x14ac:dyDescent="0.25"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  <c r="HI975" s="4"/>
      <c r="HJ975" s="4"/>
      <c r="HK975" s="4"/>
      <c r="HL975" s="4"/>
      <c r="HM975" s="4"/>
      <c r="HN975" s="4"/>
      <c r="HO975" s="4"/>
      <c r="HP975" s="4"/>
      <c r="HQ975" s="4"/>
      <c r="HR975" s="4"/>
    </row>
    <row r="976" spans="36:226" s="74" customFormat="1" x14ac:dyDescent="0.25"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  <c r="HI976" s="4"/>
      <c r="HJ976" s="4"/>
      <c r="HK976" s="4"/>
      <c r="HL976" s="4"/>
      <c r="HM976" s="4"/>
      <c r="HN976" s="4"/>
      <c r="HO976" s="4"/>
      <c r="HP976" s="4"/>
      <c r="HQ976" s="4"/>
      <c r="HR976" s="4"/>
    </row>
    <row r="977" spans="36:226" s="74" customFormat="1" x14ac:dyDescent="0.25"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  <c r="HI977" s="4"/>
      <c r="HJ977" s="4"/>
      <c r="HK977" s="4"/>
      <c r="HL977" s="4"/>
      <c r="HM977" s="4"/>
      <c r="HN977" s="4"/>
      <c r="HO977" s="4"/>
      <c r="HP977" s="4"/>
      <c r="HQ977" s="4"/>
      <c r="HR977" s="4"/>
    </row>
    <row r="978" spans="36:226" s="74" customFormat="1" x14ac:dyDescent="0.25"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  <c r="HI978" s="4"/>
      <c r="HJ978" s="4"/>
      <c r="HK978" s="4"/>
      <c r="HL978" s="4"/>
      <c r="HM978" s="4"/>
      <c r="HN978" s="4"/>
      <c r="HO978" s="4"/>
      <c r="HP978" s="4"/>
      <c r="HQ978" s="4"/>
      <c r="HR978" s="4"/>
    </row>
    <row r="979" spans="36:226" s="74" customFormat="1" x14ac:dyDescent="0.25"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  <c r="HI979" s="4"/>
      <c r="HJ979" s="4"/>
      <c r="HK979" s="4"/>
      <c r="HL979" s="4"/>
      <c r="HM979" s="4"/>
      <c r="HN979" s="4"/>
      <c r="HO979" s="4"/>
      <c r="HP979" s="4"/>
      <c r="HQ979" s="4"/>
      <c r="HR979" s="4"/>
    </row>
    <row r="980" spans="36:226" s="74" customFormat="1" x14ac:dyDescent="0.25"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  <c r="HI980" s="4"/>
      <c r="HJ980" s="4"/>
      <c r="HK980" s="4"/>
      <c r="HL980" s="4"/>
      <c r="HM980" s="4"/>
      <c r="HN980" s="4"/>
      <c r="HO980" s="4"/>
      <c r="HP980" s="4"/>
      <c r="HQ980" s="4"/>
      <c r="HR980" s="4"/>
    </row>
    <row r="981" spans="36:226" s="74" customFormat="1" x14ac:dyDescent="0.25"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  <c r="HI981" s="4"/>
      <c r="HJ981" s="4"/>
      <c r="HK981" s="4"/>
      <c r="HL981" s="4"/>
      <c r="HM981" s="4"/>
      <c r="HN981" s="4"/>
      <c r="HO981" s="4"/>
      <c r="HP981" s="4"/>
      <c r="HQ981" s="4"/>
      <c r="HR981" s="4"/>
    </row>
    <row r="982" spans="36:226" s="74" customFormat="1" x14ac:dyDescent="0.25"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  <c r="HI982" s="4"/>
      <c r="HJ982" s="4"/>
      <c r="HK982" s="4"/>
      <c r="HL982" s="4"/>
      <c r="HM982" s="4"/>
      <c r="HN982" s="4"/>
      <c r="HO982" s="4"/>
      <c r="HP982" s="4"/>
      <c r="HQ982" s="4"/>
      <c r="HR982" s="4"/>
    </row>
    <row r="983" spans="36:226" s="74" customFormat="1" x14ac:dyDescent="0.25"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  <c r="HI983" s="4"/>
      <c r="HJ983" s="4"/>
      <c r="HK983" s="4"/>
      <c r="HL983" s="4"/>
      <c r="HM983" s="4"/>
      <c r="HN983" s="4"/>
      <c r="HO983" s="4"/>
      <c r="HP983" s="4"/>
      <c r="HQ983" s="4"/>
      <c r="HR983" s="4"/>
    </row>
    <row r="984" spans="36:226" s="74" customFormat="1" x14ac:dyDescent="0.25"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  <c r="HI984" s="4"/>
      <c r="HJ984" s="4"/>
      <c r="HK984" s="4"/>
      <c r="HL984" s="4"/>
      <c r="HM984" s="4"/>
      <c r="HN984" s="4"/>
      <c r="HO984" s="4"/>
      <c r="HP984" s="4"/>
      <c r="HQ984" s="4"/>
      <c r="HR984" s="4"/>
    </row>
    <row r="985" spans="36:226" s="74" customFormat="1" x14ac:dyDescent="0.25"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  <c r="HI985" s="4"/>
      <c r="HJ985" s="4"/>
      <c r="HK985" s="4"/>
      <c r="HL985" s="4"/>
      <c r="HM985" s="4"/>
      <c r="HN985" s="4"/>
      <c r="HO985" s="4"/>
      <c r="HP985" s="4"/>
      <c r="HQ985" s="4"/>
      <c r="HR985" s="4"/>
    </row>
    <row r="986" spans="36:226" s="74" customFormat="1" x14ac:dyDescent="0.25"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  <c r="HI986" s="4"/>
      <c r="HJ986" s="4"/>
      <c r="HK986" s="4"/>
      <c r="HL986" s="4"/>
      <c r="HM986" s="4"/>
      <c r="HN986" s="4"/>
      <c r="HO986" s="4"/>
      <c r="HP986" s="4"/>
      <c r="HQ986" s="4"/>
      <c r="HR986" s="4"/>
    </row>
    <row r="987" spans="36:226" s="74" customFormat="1" x14ac:dyDescent="0.25"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  <c r="HI987" s="4"/>
      <c r="HJ987" s="4"/>
      <c r="HK987" s="4"/>
      <c r="HL987" s="4"/>
      <c r="HM987" s="4"/>
      <c r="HN987" s="4"/>
      <c r="HO987" s="4"/>
      <c r="HP987" s="4"/>
      <c r="HQ987" s="4"/>
      <c r="HR987" s="4"/>
    </row>
    <row r="988" spans="36:226" s="74" customFormat="1" x14ac:dyDescent="0.25"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  <c r="HI988" s="4"/>
      <c r="HJ988" s="4"/>
      <c r="HK988" s="4"/>
      <c r="HL988" s="4"/>
      <c r="HM988" s="4"/>
      <c r="HN988" s="4"/>
      <c r="HO988" s="4"/>
      <c r="HP988" s="4"/>
      <c r="HQ988" s="4"/>
      <c r="HR988" s="4"/>
    </row>
    <row r="989" spans="36:226" s="74" customFormat="1" x14ac:dyDescent="0.25"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  <c r="HI989" s="4"/>
      <c r="HJ989" s="4"/>
      <c r="HK989" s="4"/>
      <c r="HL989" s="4"/>
      <c r="HM989" s="4"/>
      <c r="HN989" s="4"/>
      <c r="HO989" s="4"/>
      <c r="HP989" s="4"/>
      <c r="HQ989" s="4"/>
      <c r="HR989" s="4"/>
    </row>
    <row r="990" spans="36:226" s="74" customFormat="1" x14ac:dyDescent="0.25"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  <c r="HI990" s="4"/>
      <c r="HJ990" s="4"/>
      <c r="HK990" s="4"/>
      <c r="HL990" s="4"/>
      <c r="HM990" s="4"/>
      <c r="HN990" s="4"/>
      <c r="HO990" s="4"/>
      <c r="HP990" s="4"/>
      <c r="HQ990" s="4"/>
      <c r="HR990" s="4"/>
    </row>
    <row r="991" spans="36:226" s="74" customFormat="1" x14ac:dyDescent="0.25"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  <c r="HI991" s="4"/>
      <c r="HJ991" s="4"/>
      <c r="HK991" s="4"/>
      <c r="HL991" s="4"/>
      <c r="HM991" s="4"/>
      <c r="HN991" s="4"/>
      <c r="HO991" s="4"/>
      <c r="HP991" s="4"/>
      <c r="HQ991" s="4"/>
      <c r="HR991" s="4"/>
    </row>
    <row r="992" spans="36:226" s="74" customFormat="1" x14ac:dyDescent="0.25"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  <c r="HI992" s="4"/>
      <c r="HJ992" s="4"/>
      <c r="HK992" s="4"/>
      <c r="HL992" s="4"/>
      <c r="HM992" s="4"/>
      <c r="HN992" s="4"/>
      <c r="HO992" s="4"/>
      <c r="HP992" s="4"/>
      <c r="HQ992" s="4"/>
      <c r="HR992" s="4"/>
    </row>
    <row r="993" spans="36:226" s="74" customFormat="1" x14ac:dyDescent="0.25"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  <c r="HI993" s="4"/>
      <c r="HJ993" s="4"/>
      <c r="HK993" s="4"/>
      <c r="HL993" s="4"/>
      <c r="HM993" s="4"/>
      <c r="HN993" s="4"/>
      <c r="HO993" s="4"/>
      <c r="HP993" s="4"/>
      <c r="HQ993" s="4"/>
      <c r="HR993" s="4"/>
    </row>
    <row r="994" spans="36:226" s="74" customFormat="1" x14ac:dyDescent="0.25"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  <c r="HI994" s="4"/>
      <c r="HJ994" s="4"/>
      <c r="HK994" s="4"/>
      <c r="HL994" s="4"/>
      <c r="HM994" s="4"/>
      <c r="HN994" s="4"/>
      <c r="HO994" s="4"/>
      <c r="HP994" s="4"/>
      <c r="HQ994" s="4"/>
      <c r="HR994" s="4"/>
    </row>
    <row r="995" spans="36:226" s="74" customFormat="1" x14ac:dyDescent="0.25"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  <c r="HI995" s="4"/>
      <c r="HJ995" s="4"/>
      <c r="HK995" s="4"/>
      <c r="HL995" s="4"/>
      <c r="HM995" s="4"/>
      <c r="HN995" s="4"/>
      <c r="HO995" s="4"/>
      <c r="HP995" s="4"/>
      <c r="HQ995" s="4"/>
      <c r="HR995" s="4"/>
    </row>
    <row r="996" spans="36:226" s="74" customFormat="1" x14ac:dyDescent="0.25"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  <c r="HI996" s="4"/>
      <c r="HJ996" s="4"/>
      <c r="HK996" s="4"/>
      <c r="HL996" s="4"/>
      <c r="HM996" s="4"/>
      <c r="HN996" s="4"/>
      <c r="HO996" s="4"/>
      <c r="HP996" s="4"/>
      <c r="HQ996" s="4"/>
      <c r="HR996" s="4"/>
    </row>
    <row r="997" spans="36:226" s="74" customFormat="1" x14ac:dyDescent="0.25"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  <c r="HI997" s="4"/>
      <c r="HJ997" s="4"/>
      <c r="HK997" s="4"/>
      <c r="HL997" s="4"/>
      <c r="HM997" s="4"/>
      <c r="HN997" s="4"/>
      <c r="HO997" s="4"/>
      <c r="HP997" s="4"/>
      <c r="HQ997" s="4"/>
      <c r="HR997" s="4"/>
    </row>
    <row r="998" spans="36:226" s="74" customFormat="1" x14ac:dyDescent="0.25"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  <c r="HI998" s="4"/>
      <c r="HJ998" s="4"/>
      <c r="HK998" s="4"/>
      <c r="HL998" s="4"/>
      <c r="HM998" s="4"/>
      <c r="HN998" s="4"/>
      <c r="HO998" s="4"/>
      <c r="HP998" s="4"/>
      <c r="HQ998" s="4"/>
      <c r="HR998" s="4"/>
    </row>
    <row r="999" spans="36:226" s="74" customFormat="1" x14ac:dyDescent="0.25"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  <c r="HI999" s="4"/>
      <c r="HJ999" s="4"/>
      <c r="HK999" s="4"/>
      <c r="HL999" s="4"/>
      <c r="HM999" s="4"/>
      <c r="HN999" s="4"/>
      <c r="HO999" s="4"/>
      <c r="HP999" s="4"/>
      <c r="HQ999" s="4"/>
      <c r="HR999" s="4"/>
    </row>
    <row r="1000" spans="36:226" s="74" customFormat="1" x14ac:dyDescent="0.25"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  <c r="HI1000" s="4"/>
      <c r="HJ1000" s="4"/>
      <c r="HK1000" s="4"/>
      <c r="HL1000" s="4"/>
      <c r="HM1000" s="4"/>
      <c r="HN1000" s="4"/>
      <c r="HO1000" s="4"/>
      <c r="HP1000" s="4"/>
      <c r="HQ1000" s="4"/>
      <c r="HR1000" s="4"/>
    </row>
    <row r="1001" spans="36:226" s="74" customFormat="1" x14ac:dyDescent="0.25"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  <c r="HI1001" s="4"/>
      <c r="HJ1001" s="4"/>
      <c r="HK1001" s="4"/>
      <c r="HL1001" s="4"/>
      <c r="HM1001" s="4"/>
      <c r="HN1001" s="4"/>
      <c r="HO1001" s="4"/>
      <c r="HP1001" s="4"/>
      <c r="HQ1001" s="4"/>
      <c r="HR1001" s="4"/>
    </row>
    <row r="1002" spans="36:226" s="74" customFormat="1" x14ac:dyDescent="0.25"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  <c r="HI1002" s="4"/>
      <c r="HJ1002" s="4"/>
      <c r="HK1002" s="4"/>
      <c r="HL1002" s="4"/>
      <c r="HM1002" s="4"/>
      <c r="HN1002" s="4"/>
      <c r="HO1002" s="4"/>
      <c r="HP1002" s="4"/>
      <c r="HQ1002" s="4"/>
      <c r="HR1002" s="4"/>
    </row>
    <row r="1003" spans="36:226" s="74" customFormat="1" x14ac:dyDescent="0.25"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  <c r="HI1003" s="4"/>
      <c r="HJ1003" s="4"/>
      <c r="HK1003" s="4"/>
      <c r="HL1003" s="4"/>
      <c r="HM1003" s="4"/>
      <c r="HN1003" s="4"/>
      <c r="HO1003" s="4"/>
      <c r="HP1003" s="4"/>
      <c r="HQ1003" s="4"/>
      <c r="HR1003" s="4"/>
    </row>
    <row r="1004" spans="36:226" s="74" customFormat="1" x14ac:dyDescent="0.25"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  <c r="HI1004" s="4"/>
      <c r="HJ1004" s="4"/>
      <c r="HK1004" s="4"/>
      <c r="HL1004" s="4"/>
      <c r="HM1004" s="4"/>
      <c r="HN1004" s="4"/>
      <c r="HO1004" s="4"/>
      <c r="HP1004" s="4"/>
      <c r="HQ1004" s="4"/>
      <c r="HR1004" s="4"/>
    </row>
    <row r="1005" spans="36:226" s="74" customFormat="1" x14ac:dyDescent="0.25"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  <c r="HI1005" s="4"/>
      <c r="HJ1005" s="4"/>
      <c r="HK1005" s="4"/>
      <c r="HL1005" s="4"/>
      <c r="HM1005" s="4"/>
      <c r="HN1005" s="4"/>
      <c r="HO1005" s="4"/>
      <c r="HP1005" s="4"/>
      <c r="HQ1005" s="4"/>
      <c r="HR1005" s="4"/>
    </row>
    <row r="1006" spans="36:226" s="74" customFormat="1" x14ac:dyDescent="0.25"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  <c r="HI1006" s="4"/>
      <c r="HJ1006" s="4"/>
      <c r="HK1006" s="4"/>
      <c r="HL1006" s="4"/>
      <c r="HM1006" s="4"/>
      <c r="HN1006" s="4"/>
      <c r="HO1006" s="4"/>
      <c r="HP1006" s="4"/>
      <c r="HQ1006" s="4"/>
      <c r="HR1006" s="4"/>
    </row>
    <row r="1007" spans="36:226" s="74" customFormat="1" x14ac:dyDescent="0.25"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  <c r="HI1007" s="4"/>
      <c r="HJ1007" s="4"/>
      <c r="HK1007" s="4"/>
      <c r="HL1007" s="4"/>
      <c r="HM1007" s="4"/>
      <c r="HN1007" s="4"/>
      <c r="HO1007" s="4"/>
      <c r="HP1007" s="4"/>
      <c r="HQ1007" s="4"/>
      <c r="HR1007" s="4"/>
    </row>
    <row r="1008" spans="36:226" s="74" customFormat="1" x14ac:dyDescent="0.25"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  <c r="HI1008" s="4"/>
      <c r="HJ1008" s="4"/>
      <c r="HK1008" s="4"/>
      <c r="HL1008" s="4"/>
      <c r="HM1008" s="4"/>
      <c r="HN1008" s="4"/>
      <c r="HO1008" s="4"/>
      <c r="HP1008" s="4"/>
      <c r="HQ1008" s="4"/>
      <c r="HR1008" s="4"/>
    </row>
    <row r="1009" spans="36:226" s="74" customFormat="1" x14ac:dyDescent="0.25"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  <c r="HI1009" s="4"/>
      <c r="HJ1009" s="4"/>
      <c r="HK1009" s="4"/>
      <c r="HL1009" s="4"/>
      <c r="HM1009" s="4"/>
      <c r="HN1009" s="4"/>
      <c r="HO1009" s="4"/>
      <c r="HP1009" s="4"/>
      <c r="HQ1009" s="4"/>
      <c r="HR1009" s="4"/>
    </row>
    <row r="1010" spans="36:226" s="74" customFormat="1" x14ac:dyDescent="0.25"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  <c r="HI1010" s="4"/>
      <c r="HJ1010" s="4"/>
      <c r="HK1010" s="4"/>
      <c r="HL1010" s="4"/>
      <c r="HM1010" s="4"/>
      <c r="HN1010" s="4"/>
      <c r="HO1010" s="4"/>
      <c r="HP1010" s="4"/>
      <c r="HQ1010" s="4"/>
      <c r="HR1010" s="4"/>
    </row>
    <row r="1011" spans="36:226" s="74" customFormat="1" x14ac:dyDescent="0.25"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  <c r="HI1011" s="4"/>
      <c r="HJ1011" s="4"/>
      <c r="HK1011" s="4"/>
      <c r="HL1011" s="4"/>
      <c r="HM1011" s="4"/>
      <c r="HN1011" s="4"/>
      <c r="HO1011" s="4"/>
      <c r="HP1011" s="4"/>
      <c r="HQ1011" s="4"/>
      <c r="HR1011" s="4"/>
    </row>
    <row r="1012" spans="36:226" s="74" customFormat="1" x14ac:dyDescent="0.25"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  <c r="HI1012" s="4"/>
      <c r="HJ1012" s="4"/>
      <c r="HK1012" s="4"/>
      <c r="HL1012" s="4"/>
      <c r="HM1012" s="4"/>
      <c r="HN1012" s="4"/>
      <c r="HO1012" s="4"/>
      <c r="HP1012" s="4"/>
      <c r="HQ1012" s="4"/>
      <c r="HR1012" s="4"/>
    </row>
    <row r="1013" spans="36:226" s="74" customFormat="1" x14ac:dyDescent="0.25"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  <c r="HI1013" s="4"/>
      <c r="HJ1013" s="4"/>
      <c r="HK1013" s="4"/>
      <c r="HL1013" s="4"/>
      <c r="HM1013" s="4"/>
      <c r="HN1013" s="4"/>
      <c r="HO1013" s="4"/>
      <c r="HP1013" s="4"/>
      <c r="HQ1013" s="4"/>
      <c r="HR1013" s="4"/>
    </row>
    <row r="1014" spans="36:226" s="74" customFormat="1" x14ac:dyDescent="0.25"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  <c r="HI1014" s="4"/>
      <c r="HJ1014" s="4"/>
      <c r="HK1014" s="4"/>
      <c r="HL1014" s="4"/>
      <c r="HM1014" s="4"/>
      <c r="HN1014" s="4"/>
      <c r="HO1014" s="4"/>
      <c r="HP1014" s="4"/>
      <c r="HQ1014" s="4"/>
      <c r="HR1014" s="4"/>
    </row>
    <row r="1015" spans="36:226" s="74" customFormat="1" x14ac:dyDescent="0.25"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  <c r="HI1015" s="4"/>
      <c r="HJ1015" s="4"/>
      <c r="HK1015" s="4"/>
      <c r="HL1015" s="4"/>
      <c r="HM1015" s="4"/>
      <c r="HN1015" s="4"/>
      <c r="HO1015" s="4"/>
      <c r="HP1015" s="4"/>
      <c r="HQ1015" s="4"/>
      <c r="HR1015" s="4"/>
    </row>
    <row r="1016" spans="36:226" s="74" customFormat="1" x14ac:dyDescent="0.25"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  <c r="HI1016" s="4"/>
      <c r="HJ1016" s="4"/>
      <c r="HK1016" s="4"/>
      <c r="HL1016" s="4"/>
      <c r="HM1016" s="4"/>
      <c r="HN1016" s="4"/>
      <c r="HO1016" s="4"/>
      <c r="HP1016" s="4"/>
      <c r="HQ1016" s="4"/>
      <c r="HR1016" s="4"/>
    </row>
    <row r="1017" spans="36:226" s="74" customFormat="1" x14ac:dyDescent="0.25"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  <c r="HI1017" s="4"/>
      <c r="HJ1017" s="4"/>
      <c r="HK1017" s="4"/>
      <c r="HL1017" s="4"/>
      <c r="HM1017" s="4"/>
      <c r="HN1017" s="4"/>
      <c r="HO1017" s="4"/>
      <c r="HP1017" s="4"/>
      <c r="HQ1017" s="4"/>
      <c r="HR1017" s="4"/>
    </row>
    <row r="1018" spans="36:226" s="74" customFormat="1" x14ac:dyDescent="0.25"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  <c r="HI1018" s="4"/>
      <c r="HJ1018" s="4"/>
      <c r="HK1018" s="4"/>
      <c r="HL1018" s="4"/>
      <c r="HM1018" s="4"/>
      <c r="HN1018" s="4"/>
      <c r="HO1018" s="4"/>
      <c r="HP1018" s="4"/>
      <c r="HQ1018" s="4"/>
      <c r="HR1018" s="4"/>
    </row>
    <row r="1019" spans="36:226" s="74" customFormat="1" x14ac:dyDescent="0.25"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  <c r="HI1019" s="4"/>
      <c r="HJ1019" s="4"/>
      <c r="HK1019" s="4"/>
      <c r="HL1019" s="4"/>
      <c r="HM1019" s="4"/>
      <c r="HN1019" s="4"/>
      <c r="HO1019" s="4"/>
      <c r="HP1019" s="4"/>
      <c r="HQ1019" s="4"/>
      <c r="HR1019" s="4"/>
    </row>
    <row r="1020" spans="36:226" s="74" customFormat="1" x14ac:dyDescent="0.25"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  <c r="HI1020" s="4"/>
      <c r="HJ1020" s="4"/>
      <c r="HK1020" s="4"/>
      <c r="HL1020" s="4"/>
      <c r="HM1020" s="4"/>
      <c r="HN1020" s="4"/>
      <c r="HO1020" s="4"/>
      <c r="HP1020" s="4"/>
      <c r="HQ1020" s="4"/>
      <c r="HR1020" s="4"/>
    </row>
    <row r="1021" spans="36:226" s="74" customFormat="1" x14ac:dyDescent="0.25"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  <c r="HI1021" s="4"/>
      <c r="HJ1021" s="4"/>
      <c r="HK1021" s="4"/>
      <c r="HL1021" s="4"/>
      <c r="HM1021" s="4"/>
      <c r="HN1021" s="4"/>
      <c r="HO1021" s="4"/>
      <c r="HP1021" s="4"/>
      <c r="HQ1021" s="4"/>
      <c r="HR1021" s="4"/>
    </row>
    <row r="1022" spans="36:226" s="74" customFormat="1" x14ac:dyDescent="0.25"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  <c r="HI1022" s="4"/>
      <c r="HJ1022" s="4"/>
      <c r="HK1022" s="4"/>
      <c r="HL1022" s="4"/>
      <c r="HM1022" s="4"/>
      <c r="HN1022" s="4"/>
      <c r="HO1022" s="4"/>
      <c r="HP1022" s="4"/>
      <c r="HQ1022" s="4"/>
      <c r="HR1022" s="4"/>
    </row>
    <row r="1023" spans="36:226" s="74" customFormat="1" x14ac:dyDescent="0.25"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  <c r="HI1023" s="4"/>
      <c r="HJ1023" s="4"/>
      <c r="HK1023" s="4"/>
      <c r="HL1023" s="4"/>
      <c r="HM1023" s="4"/>
      <c r="HN1023" s="4"/>
      <c r="HO1023" s="4"/>
      <c r="HP1023" s="4"/>
      <c r="HQ1023" s="4"/>
      <c r="HR1023" s="4"/>
    </row>
    <row r="1024" spans="36:226" s="74" customFormat="1" x14ac:dyDescent="0.25"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  <c r="HI1024" s="4"/>
      <c r="HJ1024" s="4"/>
      <c r="HK1024" s="4"/>
      <c r="HL1024" s="4"/>
      <c r="HM1024" s="4"/>
      <c r="HN1024" s="4"/>
      <c r="HO1024" s="4"/>
      <c r="HP1024" s="4"/>
      <c r="HQ1024" s="4"/>
      <c r="HR1024" s="4"/>
    </row>
    <row r="1025" spans="36:226" s="74" customFormat="1" x14ac:dyDescent="0.25"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  <c r="HI1025" s="4"/>
      <c r="HJ1025" s="4"/>
      <c r="HK1025" s="4"/>
      <c r="HL1025" s="4"/>
      <c r="HM1025" s="4"/>
      <c r="HN1025" s="4"/>
      <c r="HO1025" s="4"/>
      <c r="HP1025" s="4"/>
      <c r="HQ1025" s="4"/>
      <c r="HR1025" s="4"/>
    </row>
    <row r="1026" spans="36:226" s="74" customFormat="1" x14ac:dyDescent="0.25"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  <c r="HI1026" s="4"/>
      <c r="HJ1026" s="4"/>
      <c r="HK1026" s="4"/>
      <c r="HL1026" s="4"/>
      <c r="HM1026" s="4"/>
      <c r="HN1026" s="4"/>
      <c r="HO1026" s="4"/>
      <c r="HP1026" s="4"/>
      <c r="HQ1026" s="4"/>
      <c r="HR1026" s="4"/>
    </row>
    <row r="1027" spans="36:226" s="74" customFormat="1" x14ac:dyDescent="0.25"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  <c r="HI1027" s="4"/>
      <c r="HJ1027" s="4"/>
      <c r="HK1027" s="4"/>
      <c r="HL1027" s="4"/>
      <c r="HM1027" s="4"/>
      <c r="HN1027" s="4"/>
      <c r="HO1027" s="4"/>
      <c r="HP1027" s="4"/>
      <c r="HQ1027" s="4"/>
      <c r="HR1027" s="4"/>
    </row>
    <row r="1028" spans="36:226" s="74" customFormat="1" x14ac:dyDescent="0.25"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  <c r="HI1028" s="4"/>
      <c r="HJ1028" s="4"/>
      <c r="HK1028" s="4"/>
      <c r="HL1028" s="4"/>
      <c r="HM1028" s="4"/>
      <c r="HN1028" s="4"/>
      <c r="HO1028" s="4"/>
      <c r="HP1028" s="4"/>
      <c r="HQ1028" s="4"/>
      <c r="HR1028" s="4"/>
    </row>
    <row r="1029" spans="36:226" s="74" customFormat="1" x14ac:dyDescent="0.25"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  <c r="HI1029" s="4"/>
      <c r="HJ1029" s="4"/>
      <c r="HK1029" s="4"/>
      <c r="HL1029" s="4"/>
      <c r="HM1029" s="4"/>
      <c r="HN1029" s="4"/>
      <c r="HO1029" s="4"/>
      <c r="HP1029" s="4"/>
      <c r="HQ1029" s="4"/>
      <c r="HR1029" s="4"/>
    </row>
    <row r="1030" spans="36:226" s="74" customFormat="1" x14ac:dyDescent="0.25"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  <c r="HI1030" s="4"/>
      <c r="HJ1030" s="4"/>
      <c r="HK1030" s="4"/>
      <c r="HL1030" s="4"/>
      <c r="HM1030" s="4"/>
      <c r="HN1030" s="4"/>
      <c r="HO1030" s="4"/>
      <c r="HP1030" s="4"/>
      <c r="HQ1030" s="4"/>
      <c r="HR1030" s="4"/>
    </row>
    <row r="1031" spans="36:226" s="74" customFormat="1" x14ac:dyDescent="0.25"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  <c r="HI1031" s="4"/>
      <c r="HJ1031" s="4"/>
      <c r="HK1031" s="4"/>
      <c r="HL1031" s="4"/>
      <c r="HM1031" s="4"/>
      <c r="HN1031" s="4"/>
      <c r="HO1031" s="4"/>
      <c r="HP1031" s="4"/>
      <c r="HQ1031" s="4"/>
      <c r="HR1031" s="4"/>
    </row>
    <row r="1032" spans="36:226" s="74" customFormat="1" x14ac:dyDescent="0.25"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  <c r="HI1032" s="4"/>
      <c r="HJ1032" s="4"/>
      <c r="HK1032" s="4"/>
      <c r="HL1032" s="4"/>
      <c r="HM1032" s="4"/>
      <c r="HN1032" s="4"/>
      <c r="HO1032" s="4"/>
      <c r="HP1032" s="4"/>
      <c r="HQ1032" s="4"/>
      <c r="HR1032" s="4"/>
    </row>
    <row r="1033" spans="36:226" s="74" customFormat="1" x14ac:dyDescent="0.25"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  <c r="HI1033" s="4"/>
      <c r="HJ1033" s="4"/>
      <c r="HK1033" s="4"/>
      <c r="HL1033" s="4"/>
      <c r="HM1033" s="4"/>
      <c r="HN1033" s="4"/>
      <c r="HO1033" s="4"/>
      <c r="HP1033" s="4"/>
      <c r="HQ1033" s="4"/>
      <c r="HR1033" s="4"/>
    </row>
    <row r="1034" spans="36:226" s="74" customFormat="1" x14ac:dyDescent="0.25"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  <c r="HI1034" s="4"/>
      <c r="HJ1034" s="4"/>
      <c r="HK1034" s="4"/>
      <c r="HL1034" s="4"/>
      <c r="HM1034" s="4"/>
      <c r="HN1034" s="4"/>
      <c r="HO1034" s="4"/>
      <c r="HP1034" s="4"/>
      <c r="HQ1034" s="4"/>
      <c r="HR1034" s="4"/>
    </row>
    <row r="1035" spans="36:226" s="74" customFormat="1" x14ac:dyDescent="0.25"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  <c r="HI1035" s="4"/>
      <c r="HJ1035" s="4"/>
      <c r="HK1035" s="4"/>
      <c r="HL1035" s="4"/>
      <c r="HM1035" s="4"/>
      <c r="HN1035" s="4"/>
      <c r="HO1035" s="4"/>
      <c r="HP1035" s="4"/>
      <c r="HQ1035" s="4"/>
      <c r="HR1035" s="4"/>
    </row>
    <row r="1036" spans="36:226" s="74" customFormat="1" x14ac:dyDescent="0.25"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  <c r="HI1036" s="4"/>
      <c r="HJ1036" s="4"/>
      <c r="HK1036" s="4"/>
      <c r="HL1036" s="4"/>
      <c r="HM1036" s="4"/>
      <c r="HN1036" s="4"/>
      <c r="HO1036" s="4"/>
      <c r="HP1036" s="4"/>
      <c r="HQ1036" s="4"/>
      <c r="HR1036" s="4"/>
    </row>
    <row r="1037" spans="36:226" s="74" customFormat="1" x14ac:dyDescent="0.25"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  <c r="HI1037" s="4"/>
      <c r="HJ1037" s="4"/>
      <c r="HK1037" s="4"/>
      <c r="HL1037" s="4"/>
      <c r="HM1037" s="4"/>
      <c r="HN1037" s="4"/>
      <c r="HO1037" s="4"/>
      <c r="HP1037" s="4"/>
      <c r="HQ1037" s="4"/>
      <c r="HR1037" s="4"/>
    </row>
    <row r="1038" spans="36:226" s="74" customFormat="1" x14ac:dyDescent="0.25"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  <c r="HI1038" s="4"/>
      <c r="HJ1038" s="4"/>
      <c r="HK1038" s="4"/>
      <c r="HL1038" s="4"/>
      <c r="HM1038" s="4"/>
      <c r="HN1038" s="4"/>
      <c r="HO1038" s="4"/>
      <c r="HP1038" s="4"/>
      <c r="HQ1038" s="4"/>
      <c r="HR1038" s="4"/>
    </row>
    <row r="1039" spans="36:226" s="74" customFormat="1" x14ac:dyDescent="0.25"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  <c r="HI1039" s="4"/>
      <c r="HJ1039" s="4"/>
      <c r="HK1039" s="4"/>
      <c r="HL1039" s="4"/>
      <c r="HM1039" s="4"/>
      <c r="HN1039" s="4"/>
      <c r="HO1039" s="4"/>
      <c r="HP1039" s="4"/>
      <c r="HQ1039" s="4"/>
      <c r="HR1039" s="4"/>
    </row>
    <row r="1040" spans="36:226" s="74" customFormat="1" x14ac:dyDescent="0.25"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  <c r="HI1040" s="4"/>
      <c r="HJ1040" s="4"/>
      <c r="HK1040" s="4"/>
      <c r="HL1040" s="4"/>
      <c r="HM1040" s="4"/>
      <c r="HN1040" s="4"/>
      <c r="HO1040" s="4"/>
      <c r="HP1040" s="4"/>
      <c r="HQ1040" s="4"/>
      <c r="HR1040" s="4"/>
    </row>
    <row r="1041" spans="36:226" s="74" customFormat="1" x14ac:dyDescent="0.25"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  <c r="HI1041" s="4"/>
      <c r="HJ1041" s="4"/>
      <c r="HK1041" s="4"/>
      <c r="HL1041" s="4"/>
      <c r="HM1041" s="4"/>
      <c r="HN1041" s="4"/>
      <c r="HO1041" s="4"/>
      <c r="HP1041" s="4"/>
      <c r="HQ1041" s="4"/>
      <c r="HR1041" s="4"/>
    </row>
    <row r="1042" spans="36:226" s="74" customFormat="1" x14ac:dyDescent="0.25"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  <c r="HI1042" s="4"/>
      <c r="HJ1042" s="4"/>
      <c r="HK1042" s="4"/>
      <c r="HL1042" s="4"/>
      <c r="HM1042" s="4"/>
      <c r="HN1042" s="4"/>
      <c r="HO1042" s="4"/>
      <c r="HP1042" s="4"/>
      <c r="HQ1042" s="4"/>
      <c r="HR1042" s="4"/>
    </row>
    <row r="1043" spans="36:226" s="74" customFormat="1" x14ac:dyDescent="0.25"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  <c r="HI1043" s="4"/>
      <c r="HJ1043" s="4"/>
      <c r="HK1043" s="4"/>
      <c r="HL1043" s="4"/>
      <c r="HM1043" s="4"/>
      <c r="HN1043" s="4"/>
      <c r="HO1043" s="4"/>
      <c r="HP1043" s="4"/>
      <c r="HQ1043" s="4"/>
      <c r="HR1043" s="4"/>
    </row>
    <row r="1044" spans="36:226" s="74" customFormat="1" x14ac:dyDescent="0.25"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  <c r="HI1044" s="4"/>
      <c r="HJ1044" s="4"/>
      <c r="HK1044" s="4"/>
      <c r="HL1044" s="4"/>
      <c r="HM1044" s="4"/>
      <c r="HN1044" s="4"/>
      <c r="HO1044" s="4"/>
      <c r="HP1044" s="4"/>
      <c r="HQ1044" s="4"/>
      <c r="HR1044" s="4"/>
    </row>
    <row r="1045" spans="36:226" s="74" customFormat="1" x14ac:dyDescent="0.25"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  <c r="HI1045" s="4"/>
      <c r="HJ1045" s="4"/>
      <c r="HK1045" s="4"/>
      <c r="HL1045" s="4"/>
      <c r="HM1045" s="4"/>
      <c r="HN1045" s="4"/>
      <c r="HO1045" s="4"/>
      <c r="HP1045" s="4"/>
      <c r="HQ1045" s="4"/>
      <c r="HR1045" s="4"/>
    </row>
    <row r="1046" spans="36:226" s="74" customFormat="1" x14ac:dyDescent="0.25"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  <c r="HI1046" s="4"/>
      <c r="HJ1046" s="4"/>
      <c r="HK1046" s="4"/>
      <c r="HL1046" s="4"/>
      <c r="HM1046" s="4"/>
      <c r="HN1046" s="4"/>
      <c r="HO1046" s="4"/>
      <c r="HP1046" s="4"/>
      <c r="HQ1046" s="4"/>
      <c r="HR1046" s="4"/>
    </row>
    <row r="1047" spans="36:226" s="74" customFormat="1" x14ac:dyDescent="0.25"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  <c r="HI1047" s="4"/>
      <c r="HJ1047" s="4"/>
      <c r="HK1047" s="4"/>
      <c r="HL1047" s="4"/>
      <c r="HM1047" s="4"/>
      <c r="HN1047" s="4"/>
      <c r="HO1047" s="4"/>
      <c r="HP1047" s="4"/>
      <c r="HQ1047" s="4"/>
      <c r="HR1047" s="4"/>
    </row>
    <row r="1048" spans="36:226" s="74" customFormat="1" x14ac:dyDescent="0.25"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  <c r="HI1048" s="4"/>
      <c r="HJ1048" s="4"/>
      <c r="HK1048" s="4"/>
      <c r="HL1048" s="4"/>
      <c r="HM1048" s="4"/>
      <c r="HN1048" s="4"/>
      <c r="HO1048" s="4"/>
      <c r="HP1048" s="4"/>
      <c r="HQ1048" s="4"/>
      <c r="HR1048" s="4"/>
    </row>
    <row r="1049" spans="36:226" s="74" customFormat="1" x14ac:dyDescent="0.25"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  <c r="HI1049" s="4"/>
      <c r="HJ1049" s="4"/>
      <c r="HK1049" s="4"/>
      <c r="HL1049" s="4"/>
      <c r="HM1049" s="4"/>
      <c r="HN1049" s="4"/>
      <c r="HO1049" s="4"/>
      <c r="HP1049" s="4"/>
      <c r="HQ1049" s="4"/>
      <c r="HR1049" s="4"/>
    </row>
    <row r="1050" spans="36:226" s="74" customFormat="1" x14ac:dyDescent="0.25"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  <c r="HI1050" s="4"/>
      <c r="HJ1050" s="4"/>
      <c r="HK1050" s="4"/>
      <c r="HL1050" s="4"/>
      <c r="HM1050" s="4"/>
      <c r="HN1050" s="4"/>
      <c r="HO1050" s="4"/>
      <c r="HP1050" s="4"/>
      <c r="HQ1050" s="4"/>
      <c r="HR1050" s="4"/>
    </row>
    <row r="1051" spans="36:226" s="74" customFormat="1" x14ac:dyDescent="0.25"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  <c r="HI1051" s="4"/>
      <c r="HJ1051" s="4"/>
      <c r="HK1051" s="4"/>
      <c r="HL1051" s="4"/>
      <c r="HM1051" s="4"/>
      <c r="HN1051" s="4"/>
      <c r="HO1051" s="4"/>
      <c r="HP1051" s="4"/>
      <c r="HQ1051" s="4"/>
      <c r="HR1051" s="4"/>
    </row>
    <row r="1052" spans="36:226" s="74" customFormat="1" x14ac:dyDescent="0.25"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  <c r="HI1052" s="4"/>
      <c r="HJ1052" s="4"/>
      <c r="HK1052" s="4"/>
      <c r="HL1052" s="4"/>
      <c r="HM1052" s="4"/>
      <c r="HN1052" s="4"/>
      <c r="HO1052" s="4"/>
      <c r="HP1052" s="4"/>
      <c r="HQ1052" s="4"/>
      <c r="HR1052" s="4"/>
    </row>
    <row r="1053" spans="36:226" s="74" customFormat="1" x14ac:dyDescent="0.25"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  <c r="HI1053" s="4"/>
      <c r="HJ1053" s="4"/>
      <c r="HK1053" s="4"/>
      <c r="HL1053" s="4"/>
      <c r="HM1053" s="4"/>
      <c r="HN1053" s="4"/>
      <c r="HO1053" s="4"/>
      <c r="HP1053" s="4"/>
      <c r="HQ1053" s="4"/>
      <c r="HR1053" s="4"/>
    </row>
    <row r="1054" spans="36:226" s="74" customFormat="1" x14ac:dyDescent="0.25"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  <c r="HI1054" s="4"/>
      <c r="HJ1054" s="4"/>
      <c r="HK1054" s="4"/>
      <c r="HL1054" s="4"/>
      <c r="HM1054" s="4"/>
      <c r="HN1054" s="4"/>
      <c r="HO1054" s="4"/>
      <c r="HP1054" s="4"/>
      <c r="HQ1054" s="4"/>
      <c r="HR1054" s="4"/>
    </row>
    <row r="1055" spans="36:226" s="74" customFormat="1" x14ac:dyDescent="0.25"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  <c r="HI1055" s="4"/>
      <c r="HJ1055" s="4"/>
      <c r="HK1055" s="4"/>
      <c r="HL1055" s="4"/>
      <c r="HM1055" s="4"/>
      <c r="HN1055" s="4"/>
      <c r="HO1055" s="4"/>
      <c r="HP1055" s="4"/>
      <c r="HQ1055" s="4"/>
      <c r="HR1055" s="4"/>
    </row>
    <row r="1056" spans="36:226" s="74" customFormat="1" x14ac:dyDescent="0.25"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  <c r="HI1056" s="4"/>
      <c r="HJ1056" s="4"/>
      <c r="HK1056" s="4"/>
      <c r="HL1056" s="4"/>
      <c r="HM1056" s="4"/>
      <c r="HN1056" s="4"/>
      <c r="HO1056" s="4"/>
      <c r="HP1056" s="4"/>
      <c r="HQ1056" s="4"/>
      <c r="HR1056" s="4"/>
    </row>
    <row r="1057" spans="36:226" s="74" customFormat="1" x14ac:dyDescent="0.25"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  <c r="HI1057" s="4"/>
      <c r="HJ1057" s="4"/>
      <c r="HK1057" s="4"/>
      <c r="HL1057" s="4"/>
      <c r="HM1057" s="4"/>
      <c r="HN1057" s="4"/>
      <c r="HO1057" s="4"/>
      <c r="HP1057" s="4"/>
      <c r="HQ1057" s="4"/>
      <c r="HR1057" s="4"/>
    </row>
    <row r="1058" spans="36:226" s="74" customFormat="1" x14ac:dyDescent="0.25"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  <c r="HI1058" s="4"/>
      <c r="HJ1058" s="4"/>
      <c r="HK1058" s="4"/>
      <c r="HL1058" s="4"/>
      <c r="HM1058" s="4"/>
      <c r="HN1058" s="4"/>
      <c r="HO1058" s="4"/>
      <c r="HP1058" s="4"/>
      <c r="HQ1058" s="4"/>
      <c r="HR1058" s="4"/>
    </row>
    <row r="1059" spans="36:226" s="74" customFormat="1" x14ac:dyDescent="0.25"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  <c r="HI1059" s="4"/>
      <c r="HJ1059" s="4"/>
      <c r="HK1059" s="4"/>
      <c r="HL1059" s="4"/>
      <c r="HM1059" s="4"/>
      <c r="HN1059" s="4"/>
      <c r="HO1059" s="4"/>
      <c r="HP1059" s="4"/>
      <c r="HQ1059" s="4"/>
      <c r="HR1059" s="4"/>
    </row>
    <row r="1060" spans="36:226" s="74" customFormat="1" x14ac:dyDescent="0.25"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  <c r="HI1060" s="4"/>
      <c r="HJ1060" s="4"/>
      <c r="HK1060" s="4"/>
      <c r="HL1060" s="4"/>
      <c r="HM1060" s="4"/>
      <c r="HN1060" s="4"/>
      <c r="HO1060" s="4"/>
      <c r="HP1060" s="4"/>
      <c r="HQ1060" s="4"/>
      <c r="HR1060" s="4"/>
    </row>
    <row r="1061" spans="36:226" s="74" customFormat="1" x14ac:dyDescent="0.25"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  <c r="HI1061" s="4"/>
      <c r="HJ1061" s="4"/>
      <c r="HK1061" s="4"/>
      <c r="HL1061" s="4"/>
      <c r="HM1061" s="4"/>
      <c r="HN1061" s="4"/>
      <c r="HO1061" s="4"/>
      <c r="HP1061" s="4"/>
      <c r="HQ1061" s="4"/>
      <c r="HR1061" s="4"/>
    </row>
    <row r="1062" spans="36:226" s="74" customFormat="1" x14ac:dyDescent="0.25"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  <c r="HI1062" s="4"/>
      <c r="HJ1062" s="4"/>
      <c r="HK1062" s="4"/>
      <c r="HL1062" s="4"/>
      <c r="HM1062" s="4"/>
      <c r="HN1062" s="4"/>
      <c r="HO1062" s="4"/>
      <c r="HP1062" s="4"/>
      <c r="HQ1062" s="4"/>
      <c r="HR1062" s="4"/>
    </row>
    <row r="1063" spans="36:226" s="74" customFormat="1" x14ac:dyDescent="0.25"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  <c r="HI1063" s="4"/>
      <c r="HJ1063" s="4"/>
      <c r="HK1063" s="4"/>
      <c r="HL1063" s="4"/>
      <c r="HM1063" s="4"/>
      <c r="HN1063" s="4"/>
      <c r="HO1063" s="4"/>
      <c r="HP1063" s="4"/>
      <c r="HQ1063" s="4"/>
      <c r="HR1063" s="4"/>
    </row>
    <row r="1064" spans="36:226" s="74" customFormat="1" x14ac:dyDescent="0.25"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  <c r="HI1064" s="4"/>
      <c r="HJ1064" s="4"/>
      <c r="HK1064" s="4"/>
      <c r="HL1064" s="4"/>
      <c r="HM1064" s="4"/>
      <c r="HN1064" s="4"/>
      <c r="HO1064" s="4"/>
      <c r="HP1064" s="4"/>
      <c r="HQ1064" s="4"/>
      <c r="HR1064" s="4"/>
    </row>
    <row r="1065" spans="36:226" s="74" customFormat="1" x14ac:dyDescent="0.25"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  <c r="HI1065" s="4"/>
      <c r="HJ1065" s="4"/>
      <c r="HK1065" s="4"/>
      <c r="HL1065" s="4"/>
      <c r="HM1065" s="4"/>
      <c r="HN1065" s="4"/>
      <c r="HO1065" s="4"/>
      <c r="HP1065" s="4"/>
      <c r="HQ1065" s="4"/>
      <c r="HR1065" s="4"/>
    </row>
    <row r="1066" spans="36:226" s="74" customFormat="1" x14ac:dyDescent="0.25"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  <c r="HI1066" s="4"/>
      <c r="HJ1066" s="4"/>
      <c r="HK1066" s="4"/>
      <c r="HL1066" s="4"/>
      <c r="HM1066" s="4"/>
      <c r="HN1066" s="4"/>
      <c r="HO1066" s="4"/>
      <c r="HP1066" s="4"/>
      <c r="HQ1066" s="4"/>
      <c r="HR1066" s="4"/>
    </row>
    <row r="1067" spans="36:226" s="74" customFormat="1" x14ac:dyDescent="0.25"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  <c r="HI1067" s="4"/>
      <c r="HJ1067" s="4"/>
      <c r="HK1067" s="4"/>
      <c r="HL1067" s="4"/>
      <c r="HM1067" s="4"/>
      <c r="HN1067" s="4"/>
      <c r="HO1067" s="4"/>
      <c r="HP1067" s="4"/>
      <c r="HQ1067" s="4"/>
      <c r="HR1067" s="4"/>
    </row>
    <row r="1068" spans="36:226" s="74" customFormat="1" x14ac:dyDescent="0.25"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  <c r="HI1068" s="4"/>
      <c r="HJ1068" s="4"/>
      <c r="HK1068" s="4"/>
      <c r="HL1068" s="4"/>
      <c r="HM1068" s="4"/>
      <c r="HN1068" s="4"/>
      <c r="HO1068" s="4"/>
      <c r="HP1068" s="4"/>
      <c r="HQ1068" s="4"/>
      <c r="HR1068" s="4"/>
    </row>
    <row r="1069" spans="36:226" s="74" customFormat="1" x14ac:dyDescent="0.25"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  <c r="HI1069" s="4"/>
      <c r="HJ1069" s="4"/>
      <c r="HK1069" s="4"/>
      <c r="HL1069" s="4"/>
      <c r="HM1069" s="4"/>
      <c r="HN1069" s="4"/>
      <c r="HO1069" s="4"/>
      <c r="HP1069" s="4"/>
      <c r="HQ1069" s="4"/>
      <c r="HR1069" s="4"/>
    </row>
    <row r="1070" spans="36:226" s="74" customFormat="1" x14ac:dyDescent="0.25"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  <c r="HI1070" s="4"/>
      <c r="HJ1070" s="4"/>
      <c r="HK1070" s="4"/>
      <c r="HL1070" s="4"/>
      <c r="HM1070" s="4"/>
      <c r="HN1070" s="4"/>
      <c r="HO1070" s="4"/>
      <c r="HP1070" s="4"/>
      <c r="HQ1070" s="4"/>
      <c r="HR1070" s="4"/>
    </row>
    <row r="1071" spans="36:226" s="74" customFormat="1" x14ac:dyDescent="0.25"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  <c r="HI1071" s="4"/>
      <c r="HJ1071" s="4"/>
      <c r="HK1071" s="4"/>
      <c r="HL1071" s="4"/>
      <c r="HM1071" s="4"/>
      <c r="HN1071" s="4"/>
      <c r="HO1071" s="4"/>
      <c r="HP1071" s="4"/>
      <c r="HQ1071" s="4"/>
      <c r="HR1071" s="4"/>
    </row>
    <row r="1072" spans="36:226" s="74" customFormat="1" x14ac:dyDescent="0.25"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  <c r="HI1072" s="4"/>
      <c r="HJ1072" s="4"/>
      <c r="HK1072" s="4"/>
      <c r="HL1072" s="4"/>
      <c r="HM1072" s="4"/>
      <c r="HN1072" s="4"/>
      <c r="HO1072" s="4"/>
      <c r="HP1072" s="4"/>
      <c r="HQ1072" s="4"/>
      <c r="HR1072" s="4"/>
    </row>
    <row r="1073" spans="36:226" s="74" customFormat="1" x14ac:dyDescent="0.25"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  <c r="HI1073" s="4"/>
      <c r="HJ1073" s="4"/>
      <c r="HK1073" s="4"/>
      <c r="HL1073" s="4"/>
      <c r="HM1073" s="4"/>
      <c r="HN1073" s="4"/>
      <c r="HO1073" s="4"/>
      <c r="HP1073" s="4"/>
      <c r="HQ1073" s="4"/>
      <c r="HR1073" s="4"/>
    </row>
    <row r="1074" spans="36:226" s="74" customFormat="1" x14ac:dyDescent="0.25"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  <c r="HI1074" s="4"/>
      <c r="HJ1074" s="4"/>
      <c r="HK1074" s="4"/>
      <c r="HL1074" s="4"/>
      <c r="HM1074" s="4"/>
      <c r="HN1074" s="4"/>
      <c r="HO1074" s="4"/>
      <c r="HP1074" s="4"/>
      <c r="HQ1074" s="4"/>
      <c r="HR1074" s="4"/>
    </row>
    <row r="1075" spans="36:226" s="74" customFormat="1" x14ac:dyDescent="0.25"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  <c r="HI1075" s="4"/>
      <c r="HJ1075" s="4"/>
      <c r="HK1075" s="4"/>
      <c r="HL1075" s="4"/>
      <c r="HM1075" s="4"/>
      <c r="HN1075" s="4"/>
      <c r="HO1075" s="4"/>
      <c r="HP1075" s="4"/>
      <c r="HQ1075" s="4"/>
      <c r="HR1075" s="4"/>
    </row>
    <row r="1076" spans="36:226" s="74" customFormat="1" x14ac:dyDescent="0.25"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  <c r="HI1076" s="4"/>
      <c r="HJ1076" s="4"/>
      <c r="HK1076" s="4"/>
      <c r="HL1076" s="4"/>
      <c r="HM1076" s="4"/>
      <c r="HN1076" s="4"/>
      <c r="HO1076" s="4"/>
      <c r="HP1076" s="4"/>
      <c r="HQ1076" s="4"/>
      <c r="HR1076" s="4"/>
    </row>
    <row r="1077" spans="36:226" s="74" customFormat="1" x14ac:dyDescent="0.25"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  <c r="HI1077" s="4"/>
      <c r="HJ1077" s="4"/>
      <c r="HK1077" s="4"/>
      <c r="HL1077" s="4"/>
      <c r="HM1077" s="4"/>
      <c r="HN1077" s="4"/>
      <c r="HO1077" s="4"/>
      <c r="HP1077" s="4"/>
      <c r="HQ1077" s="4"/>
      <c r="HR1077" s="4"/>
    </row>
    <row r="1078" spans="36:226" s="74" customFormat="1" x14ac:dyDescent="0.25"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  <c r="HI1078" s="4"/>
      <c r="HJ1078" s="4"/>
      <c r="HK1078" s="4"/>
      <c r="HL1078" s="4"/>
      <c r="HM1078" s="4"/>
      <c r="HN1078" s="4"/>
      <c r="HO1078" s="4"/>
      <c r="HP1078" s="4"/>
      <c r="HQ1078" s="4"/>
      <c r="HR1078" s="4"/>
    </row>
    <row r="1079" spans="36:226" s="74" customFormat="1" x14ac:dyDescent="0.25"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  <c r="HI1079" s="4"/>
      <c r="HJ1079" s="4"/>
      <c r="HK1079" s="4"/>
      <c r="HL1079" s="4"/>
      <c r="HM1079" s="4"/>
      <c r="HN1079" s="4"/>
      <c r="HO1079" s="4"/>
      <c r="HP1079" s="4"/>
      <c r="HQ1079" s="4"/>
      <c r="HR1079" s="4"/>
    </row>
    <row r="1080" spans="36:226" s="74" customFormat="1" x14ac:dyDescent="0.25"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  <c r="HI1080" s="4"/>
      <c r="HJ1080" s="4"/>
      <c r="HK1080" s="4"/>
      <c r="HL1080" s="4"/>
      <c r="HM1080" s="4"/>
      <c r="HN1080" s="4"/>
      <c r="HO1080" s="4"/>
      <c r="HP1080" s="4"/>
      <c r="HQ1080" s="4"/>
      <c r="HR1080" s="4"/>
    </row>
    <row r="1081" spans="36:226" s="74" customFormat="1" x14ac:dyDescent="0.25"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  <c r="HI1081" s="4"/>
      <c r="HJ1081" s="4"/>
      <c r="HK1081" s="4"/>
      <c r="HL1081" s="4"/>
      <c r="HM1081" s="4"/>
      <c r="HN1081" s="4"/>
      <c r="HO1081" s="4"/>
      <c r="HP1081" s="4"/>
      <c r="HQ1081" s="4"/>
      <c r="HR1081" s="4"/>
    </row>
    <row r="1082" spans="36:226" s="74" customFormat="1" x14ac:dyDescent="0.25"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  <c r="HI1082" s="4"/>
      <c r="HJ1082" s="4"/>
      <c r="HK1082" s="4"/>
      <c r="HL1082" s="4"/>
      <c r="HM1082" s="4"/>
      <c r="HN1082" s="4"/>
      <c r="HO1082" s="4"/>
      <c r="HP1082" s="4"/>
      <c r="HQ1082" s="4"/>
      <c r="HR1082" s="4"/>
    </row>
    <row r="1083" spans="36:226" s="74" customFormat="1" x14ac:dyDescent="0.25"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  <c r="HI1083" s="4"/>
      <c r="HJ1083" s="4"/>
      <c r="HK1083" s="4"/>
      <c r="HL1083" s="4"/>
      <c r="HM1083" s="4"/>
      <c r="HN1083" s="4"/>
      <c r="HO1083" s="4"/>
      <c r="HP1083" s="4"/>
      <c r="HQ1083" s="4"/>
      <c r="HR1083" s="4"/>
    </row>
    <row r="1084" spans="36:226" s="74" customFormat="1" x14ac:dyDescent="0.25"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  <c r="HI1084" s="4"/>
      <c r="HJ1084" s="4"/>
      <c r="HK1084" s="4"/>
      <c r="HL1084" s="4"/>
      <c r="HM1084" s="4"/>
      <c r="HN1084" s="4"/>
      <c r="HO1084" s="4"/>
      <c r="HP1084" s="4"/>
      <c r="HQ1084" s="4"/>
      <c r="HR1084" s="4"/>
    </row>
    <row r="1085" spans="36:226" s="74" customFormat="1" x14ac:dyDescent="0.25"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  <c r="HI1085" s="4"/>
      <c r="HJ1085" s="4"/>
      <c r="HK1085" s="4"/>
      <c r="HL1085" s="4"/>
      <c r="HM1085" s="4"/>
      <c r="HN1085" s="4"/>
      <c r="HO1085" s="4"/>
      <c r="HP1085" s="4"/>
      <c r="HQ1085" s="4"/>
      <c r="HR1085" s="4"/>
    </row>
    <row r="1086" spans="36:226" s="74" customFormat="1" x14ac:dyDescent="0.25"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  <c r="HI1086" s="4"/>
      <c r="HJ1086" s="4"/>
      <c r="HK1086" s="4"/>
      <c r="HL1086" s="4"/>
      <c r="HM1086" s="4"/>
      <c r="HN1086" s="4"/>
      <c r="HO1086" s="4"/>
      <c r="HP1086" s="4"/>
      <c r="HQ1086" s="4"/>
      <c r="HR1086" s="4"/>
    </row>
    <row r="1087" spans="36:226" s="74" customFormat="1" x14ac:dyDescent="0.25"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  <c r="HI1087" s="4"/>
      <c r="HJ1087" s="4"/>
      <c r="HK1087" s="4"/>
      <c r="HL1087" s="4"/>
      <c r="HM1087" s="4"/>
      <c r="HN1087" s="4"/>
      <c r="HO1087" s="4"/>
      <c r="HP1087" s="4"/>
      <c r="HQ1087" s="4"/>
      <c r="HR1087" s="4"/>
    </row>
    <row r="1088" spans="36:226" s="74" customFormat="1" x14ac:dyDescent="0.25"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  <c r="HI1088" s="4"/>
      <c r="HJ1088" s="4"/>
      <c r="HK1088" s="4"/>
      <c r="HL1088" s="4"/>
      <c r="HM1088" s="4"/>
      <c r="HN1088" s="4"/>
      <c r="HO1088" s="4"/>
      <c r="HP1088" s="4"/>
      <c r="HQ1088" s="4"/>
      <c r="HR1088" s="4"/>
    </row>
    <row r="1089" spans="36:226" s="74" customFormat="1" x14ac:dyDescent="0.25"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  <c r="HI1089" s="4"/>
      <c r="HJ1089" s="4"/>
      <c r="HK1089" s="4"/>
      <c r="HL1089" s="4"/>
      <c r="HM1089" s="4"/>
      <c r="HN1089" s="4"/>
      <c r="HO1089" s="4"/>
      <c r="HP1089" s="4"/>
      <c r="HQ1089" s="4"/>
      <c r="HR1089" s="4"/>
    </row>
    <row r="1090" spans="36:226" s="74" customFormat="1" x14ac:dyDescent="0.25"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  <c r="HI1090" s="4"/>
      <c r="HJ1090" s="4"/>
      <c r="HK1090" s="4"/>
      <c r="HL1090" s="4"/>
      <c r="HM1090" s="4"/>
      <c r="HN1090" s="4"/>
      <c r="HO1090" s="4"/>
      <c r="HP1090" s="4"/>
      <c r="HQ1090" s="4"/>
      <c r="HR1090" s="4"/>
    </row>
    <row r="1091" spans="36:226" s="74" customFormat="1" x14ac:dyDescent="0.25"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  <c r="HI1091" s="4"/>
      <c r="HJ1091" s="4"/>
      <c r="HK1091" s="4"/>
      <c r="HL1091" s="4"/>
      <c r="HM1091" s="4"/>
      <c r="HN1091" s="4"/>
      <c r="HO1091" s="4"/>
      <c r="HP1091" s="4"/>
      <c r="HQ1091" s="4"/>
      <c r="HR1091" s="4"/>
    </row>
    <row r="1092" spans="36:226" s="74" customFormat="1" x14ac:dyDescent="0.25"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  <c r="HI1092" s="4"/>
      <c r="HJ1092" s="4"/>
      <c r="HK1092" s="4"/>
      <c r="HL1092" s="4"/>
      <c r="HM1092" s="4"/>
      <c r="HN1092" s="4"/>
      <c r="HO1092" s="4"/>
      <c r="HP1092" s="4"/>
      <c r="HQ1092" s="4"/>
      <c r="HR1092" s="4"/>
    </row>
    <row r="1093" spans="36:226" s="74" customFormat="1" x14ac:dyDescent="0.25"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  <c r="HI1093" s="4"/>
      <c r="HJ1093" s="4"/>
      <c r="HK1093" s="4"/>
      <c r="HL1093" s="4"/>
      <c r="HM1093" s="4"/>
      <c r="HN1093" s="4"/>
      <c r="HO1093" s="4"/>
      <c r="HP1093" s="4"/>
      <c r="HQ1093" s="4"/>
      <c r="HR1093" s="4"/>
    </row>
    <row r="1094" spans="36:226" s="74" customFormat="1" x14ac:dyDescent="0.25"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  <c r="HI1094" s="4"/>
      <c r="HJ1094" s="4"/>
      <c r="HK1094" s="4"/>
      <c r="HL1094" s="4"/>
      <c r="HM1094" s="4"/>
      <c r="HN1094" s="4"/>
      <c r="HO1094" s="4"/>
      <c r="HP1094" s="4"/>
      <c r="HQ1094" s="4"/>
      <c r="HR1094" s="4"/>
    </row>
    <row r="1095" spans="36:226" s="74" customFormat="1" x14ac:dyDescent="0.25"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  <c r="HI1095" s="4"/>
      <c r="HJ1095" s="4"/>
      <c r="HK1095" s="4"/>
      <c r="HL1095" s="4"/>
      <c r="HM1095" s="4"/>
      <c r="HN1095" s="4"/>
      <c r="HO1095" s="4"/>
      <c r="HP1095" s="4"/>
      <c r="HQ1095" s="4"/>
      <c r="HR1095" s="4"/>
    </row>
    <row r="1096" spans="36:226" s="74" customFormat="1" x14ac:dyDescent="0.25"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  <c r="HI1096" s="4"/>
      <c r="HJ1096" s="4"/>
      <c r="HK1096" s="4"/>
      <c r="HL1096" s="4"/>
      <c r="HM1096" s="4"/>
      <c r="HN1096" s="4"/>
      <c r="HO1096" s="4"/>
      <c r="HP1096" s="4"/>
      <c r="HQ1096" s="4"/>
      <c r="HR1096" s="4"/>
    </row>
    <row r="1097" spans="36:226" s="74" customFormat="1" x14ac:dyDescent="0.25"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  <c r="HI1097" s="4"/>
      <c r="HJ1097" s="4"/>
      <c r="HK1097" s="4"/>
      <c r="HL1097" s="4"/>
      <c r="HM1097" s="4"/>
      <c r="HN1097" s="4"/>
      <c r="HO1097" s="4"/>
      <c r="HP1097" s="4"/>
      <c r="HQ1097" s="4"/>
      <c r="HR1097" s="4"/>
    </row>
    <row r="1098" spans="36:226" s="74" customFormat="1" x14ac:dyDescent="0.25"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  <c r="HI1098" s="4"/>
      <c r="HJ1098" s="4"/>
      <c r="HK1098" s="4"/>
      <c r="HL1098" s="4"/>
      <c r="HM1098" s="4"/>
      <c r="HN1098" s="4"/>
      <c r="HO1098" s="4"/>
      <c r="HP1098" s="4"/>
      <c r="HQ1098" s="4"/>
      <c r="HR1098" s="4"/>
    </row>
    <row r="1099" spans="36:226" s="74" customFormat="1" x14ac:dyDescent="0.25"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  <c r="HI1099" s="4"/>
      <c r="HJ1099" s="4"/>
      <c r="HK1099" s="4"/>
      <c r="HL1099" s="4"/>
      <c r="HM1099" s="4"/>
      <c r="HN1099" s="4"/>
      <c r="HO1099" s="4"/>
      <c r="HP1099" s="4"/>
      <c r="HQ1099" s="4"/>
      <c r="HR1099" s="4"/>
    </row>
    <row r="1100" spans="36:226" s="74" customFormat="1" x14ac:dyDescent="0.25"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  <c r="HI1100" s="4"/>
      <c r="HJ1100" s="4"/>
      <c r="HK1100" s="4"/>
      <c r="HL1100" s="4"/>
      <c r="HM1100" s="4"/>
      <c r="HN1100" s="4"/>
      <c r="HO1100" s="4"/>
      <c r="HP1100" s="4"/>
      <c r="HQ1100" s="4"/>
      <c r="HR1100" s="4"/>
    </row>
    <row r="1101" spans="36:226" s="74" customFormat="1" x14ac:dyDescent="0.25"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  <c r="HI1101" s="4"/>
      <c r="HJ1101" s="4"/>
      <c r="HK1101" s="4"/>
      <c r="HL1101" s="4"/>
      <c r="HM1101" s="4"/>
      <c r="HN1101" s="4"/>
      <c r="HO1101" s="4"/>
      <c r="HP1101" s="4"/>
      <c r="HQ1101" s="4"/>
      <c r="HR1101" s="4"/>
    </row>
    <row r="1102" spans="36:226" s="74" customFormat="1" x14ac:dyDescent="0.25"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  <c r="HI1102" s="4"/>
      <c r="HJ1102" s="4"/>
      <c r="HK1102" s="4"/>
      <c r="HL1102" s="4"/>
      <c r="HM1102" s="4"/>
      <c r="HN1102" s="4"/>
      <c r="HO1102" s="4"/>
      <c r="HP1102" s="4"/>
      <c r="HQ1102" s="4"/>
      <c r="HR1102" s="4"/>
    </row>
    <row r="1103" spans="36:226" s="74" customFormat="1" x14ac:dyDescent="0.25"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  <c r="HI1103" s="4"/>
      <c r="HJ1103" s="4"/>
      <c r="HK1103" s="4"/>
      <c r="HL1103" s="4"/>
      <c r="HM1103" s="4"/>
      <c r="HN1103" s="4"/>
      <c r="HO1103" s="4"/>
      <c r="HP1103" s="4"/>
      <c r="HQ1103" s="4"/>
      <c r="HR1103" s="4"/>
    </row>
    <row r="1104" spans="36:226" s="74" customFormat="1" x14ac:dyDescent="0.25"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  <c r="HI1104" s="4"/>
      <c r="HJ1104" s="4"/>
      <c r="HK1104" s="4"/>
      <c r="HL1104" s="4"/>
      <c r="HM1104" s="4"/>
      <c r="HN1104" s="4"/>
      <c r="HO1104" s="4"/>
      <c r="HP1104" s="4"/>
      <c r="HQ1104" s="4"/>
      <c r="HR1104" s="4"/>
    </row>
    <row r="1105" spans="36:226" s="74" customFormat="1" x14ac:dyDescent="0.25"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  <c r="HI1105" s="4"/>
      <c r="HJ1105" s="4"/>
      <c r="HK1105" s="4"/>
      <c r="HL1105" s="4"/>
      <c r="HM1105" s="4"/>
      <c r="HN1105" s="4"/>
      <c r="HO1105" s="4"/>
      <c r="HP1105" s="4"/>
      <c r="HQ1105" s="4"/>
      <c r="HR1105" s="4"/>
    </row>
    <row r="1106" spans="36:226" s="74" customFormat="1" x14ac:dyDescent="0.25"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  <c r="HI1106" s="4"/>
      <c r="HJ1106" s="4"/>
      <c r="HK1106" s="4"/>
      <c r="HL1106" s="4"/>
      <c r="HM1106" s="4"/>
      <c r="HN1106" s="4"/>
      <c r="HO1106" s="4"/>
      <c r="HP1106" s="4"/>
      <c r="HQ1106" s="4"/>
      <c r="HR1106" s="4"/>
    </row>
    <row r="1107" spans="36:226" s="74" customFormat="1" x14ac:dyDescent="0.25"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  <c r="HI1107" s="4"/>
      <c r="HJ1107" s="4"/>
      <c r="HK1107" s="4"/>
      <c r="HL1107" s="4"/>
      <c r="HM1107" s="4"/>
      <c r="HN1107" s="4"/>
      <c r="HO1107" s="4"/>
      <c r="HP1107" s="4"/>
      <c r="HQ1107" s="4"/>
      <c r="HR1107" s="4"/>
    </row>
    <row r="1108" spans="36:226" s="74" customFormat="1" x14ac:dyDescent="0.25"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  <c r="HI1108" s="4"/>
      <c r="HJ1108" s="4"/>
      <c r="HK1108" s="4"/>
      <c r="HL1108" s="4"/>
      <c r="HM1108" s="4"/>
      <c r="HN1108" s="4"/>
      <c r="HO1108" s="4"/>
      <c r="HP1108" s="4"/>
      <c r="HQ1108" s="4"/>
      <c r="HR1108" s="4"/>
    </row>
    <row r="1109" spans="36:226" s="74" customFormat="1" x14ac:dyDescent="0.25"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  <c r="HI1109" s="4"/>
      <c r="HJ1109" s="4"/>
      <c r="HK1109" s="4"/>
      <c r="HL1109" s="4"/>
      <c r="HM1109" s="4"/>
      <c r="HN1109" s="4"/>
      <c r="HO1109" s="4"/>
      <c r="HP1109" s="4"/>
      <c r="HQ1109" s="4"/>
      <c r="HR1109" s="4"/>
    </row>
    <row r="1110" spans="36:226" s="74" customFormat="1" x14ac:dyDescent="0.25"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  <c r="HI1110" s="4"/>
      <c r="HJ1110" s="4"/>
      <c r="HK1110" s="4"/>
      <c r="HL1110" s="4"/>
      <c r="HM1110" s="4"/>
      <c r="HN1110" s="4"/>
      <c r="HO1110" s="4"/>
      <c r="HP1110" s="4"/>
      <c r="HQ1110" s="4"/>
      <c r="HR1110" s="4"/>
    </row>
    <row r="1111" spans="36:226" s="74" customFormat="1" x14ac:dyDescent="0.25"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  <c r="HI1111" s="4"/>
      <c r="HJ1111" s="4"/>
      <c r="HK1111" s="4"/>
      <c r="HL1111" s="4"/>
      <c r="HM1111" s="4"/>
      <c r="HN1111" s="4"/>
      <c r="HO1111" s="4"/>
      <c r="HP1111" s="4"/>
      <c r="HQ1111" s="4"/>
      <c r="HR1111" s="4"/>
    </row>
    <row r="1112" spans="36:226" s="74" customFormat="1" x14ac:dyDescent="0.25"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  <c r="HI1112" s="4"/>
      <c r="HJ1112" s="4"/>
      <c r="HK1112" s="4"/>
      <c r="HL1112" s="4"/>
      <c r="HM1112" s="4"/>
      <c r="HN1112" s="4"/>
      <c r="HO1112" s="4"/>
      <c r="HP1112" s="4"/>
      <c r="HQ1112" s="4"/>
      <c r="HR1112" s="4"/>
    </row>
    <row r="1113" spans="36:226" s="74" customFormat="1" x14ac:dyDescent="0.25"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  <c r="HI1113" s="4"/>
      <c r="HJ1113" s="4"/>
      <c r="HK1113" s="4"/>
      <c r="HL1113" s="4"/>
      <c r="HM1113" s="4"/>
      <c r="HN1113" s="4"/>
      <c r="HO1113" s="4"/>
      <c r="HP1113" s="4"/>
      <c r="HQ1113" s="4"/>
      <c r="HR1113" s="4"/>
    </row>
    <row r="1114" spans="36:226" s="74" customFormat="1" x14ac:dyDescent="0.25"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  <c r="HI1114" s="4"/>
      <c r="HJ1114" s="4"/>
      <c r="HK1114" s="4"/>
      <c r="HL1114" s="4"/>
      <c r="HM1114" s="4"/>
      <c r="HN1114" s="4"/>
      <c r="HO1114" s="4"/>
      <c r="HP1114" s="4"/>
      <c r="HQ1114" s="4"/>
      <c r="HR1114" s="4"/>
    </row>
    <row r="1115" spans="36:226" s="74" customFormat="1" x14ac:dyDescent="0.25"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  <c r="HI1115" s="4"/>
      <c r="HJ1115" s="4"/>
      <c r="HK1115" s="4"/>
      <c r="HL1115" s="4"/>
      <c r="HM1115" s="4"/>
      <c r="HN1115" s="4"/>
      <c r="HO1115" s="4"/>
      <c r="HP1115" s="4"/>
      <c r="HQ1115" s="4"/>
      <c r="HR1115" s="4"/>
    </row>
    <row r="1116" spans="36:226" s="74" customFormat="1" x14ac:dyDescent="0.25"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  <c r="HI1116" s="4"/>
      <c r="HJ1116" s="4"/>
      <c r="HK1116" s="4"/>
      <c r="HL1116" s="4"/>
      <c r="HM1116" s="4"/>
      <c r="HN1116" s="4"/>
      <c r="HO1116" s="4"/>
      <c r="HP1116" s="4"/>
      <c r="HQ1116" s="4"/>
      <c r="HR1116" s="4"/>
    </row>
    <row r="1117" spans="36:226" s="74" customFormat="1" x14ac:dyDescent="0.25"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  <c r="HI1117" s="4"/>
      <c r="HJ1117" s="4"/>
      <c r="HK1117" s="4"/>
      <c r="HL1117" s="4"/>
      <c r="HM1117" s="4"/>
      <c r="HN1117" s="4"/>
      <c r="HO1117" s="4"/>
      <c r="HP1117" s="4"/>
      <c r="HQ1117" s="4"/>
      <c r="HR1117" s="4"/>
    </row>
    <row r="1118" spans="36:226" s="74" customFormat="1" x14ac:dyDescent="0.25"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  <c r="HI1118" s="4"/>
      <c r="HJ1118" s="4"/>
      <c r="HK1118" s="4"/>
      <c r="HL1118" s="4"/>
      <c r="HM1118" s="4"/>
      <c r="HN1118" s="4"/>
      <c r="HO1118" s="4"/>
      <c r="HP1118" s="4"/>
      <c r="HQ1118" s="4"/>
      <c r="HR1118" s="4"/>
    </row>
    <row r="1119" spans="36:226" s="74" customFormat="1" x14ac:dyDescent="0.25"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  <c r="HI1119" s="4"/>
      <c r="HJ1119" s="4"/>
      <c r="HK1119" s="4"/>
      <c r="HL1119" s="4"/>
      <c r="HM1119" s="4"/>
      <c r="HN1119" s="4"/>
      <c r="HO1119" s="4"/>
      <c r="HP1119" s="4"/>
      <c r="HQ1119" s="4"/>
      <c r="HR1119" s="4"/>
    </row>
    <row r="1120" spans="36:226" s="74" customFormat="1" x14ac:dyDescent="0.25"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  <c r="HI1120" s="4"/>
      <c r="HJ1120" s="4"/>
      <c r="HK1120" s="4"/>
      <c r="HL1120" s="4"/>
      <c r="HM1120" s="4"/>
      <c r="HN1120" s="4"/>
      <c r="HO1120" s="4"/>
      <c r="HP1120" s="4"/>
      <c r="HQ1120" s="4"/>
      <c r="HR1120" s="4"/>
    </row>
    <row r="1121" spans="36:226" s="74" customFormat="1" x14ac:dyDescent="0.25"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  <c r="HI1121" s="4"/>
      <c r="HJ1121" s="4"/>
      <c r="HK1121" s="4"/>
      <c r="HL1121" s="4"/>
      <c r="HM1121" s="4"/>
      <c r="HN1121" s="4"/>
      <c r="HO1121" s="4"/>
      <c r="HP1121" s="4"/>
      <c r="HQ1121" s="4"/>
      <c r="HR1121" s="4"/>
    </row>
    <row r="1122" spans="36:226" s="74" customFormat="1" x14ac:dyDescent="0.25"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  <c r="HI1122" s="4"/>
      <c r="HJ1122" s="4"/>
      <c r="HK1122" s="4"/>
      <c r="HL1122" s="4"/>
      <c r="HM1122" s="4"/>
      <c r="HN1122" s="4"/>
      <c r="HO1122" s="4"/>
      <c r="HP1122" s="4"/>
      <c r="HQ1122" s="4"/>
      <c r="HR1122" s="4"/>
    </row>
    <row r="1123" spans="36:226" s="74" customFormat="1" x14ac:dyDescent="0.25"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  <c r="HI1123" s="4"/>
      <c r="HJ1123" s="4"/>
      <c r="HK1123" s="4"/>
      <c r="HL1123" s="4"/>
      <c r="HM1123" s="4"/>
      <c r="HN1123" s="4"/>
      <c r="HO1123" s="4"/>
      <c r="HP1123" s="4"/>
      <c r="HQ1123" s="4"/>
      <c r="HR1123" s="4"/>
    </row>
    <row r="1124" spans="36:226" s="74" customFormat="1" x14ac:dyDescent="0.25"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  <c r="HI1124" s="4"/>
      <c r="HJ1124" s="4"/>
      <c r="HK1124" s="4"/>
      <c r="HL1124" s="4"/>
      <c r="HM1124" s="4"/>
      <c r="HN1124" s="4"/>
      <c r="HO1124" s="4"/>
      <c r="HP1124" s="4"/>
      <c r="HQ1124" s="4"/>
      <c r="HR1124" s="4"/>
    </row>
    <row r="1125" spans="36:226" s="74" customFormat="1" x14ac:dyDescent="0.25"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  <c r="HI1125" s="4"/>
      <c r="HJ1125" s="4"/>
      <c r="HK1125" s="4"/>
      <c r="HL1125" s="4"/>
      <c r="HM1125" s="4"/>
      <c r="HN1125" s="4"/>
      <c r="HO1125" s="4"/>
      <c r="HP1125" s="4"/>
      <c r="HQ1125" s="4"/>
      <c r="HR1125" s="4"/>
    </row>
    <row r="1126" spans="36:226" s="74" customFormat="1" x14ac:dyDescent="0.25"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  <c r="HI1126" s="4"/>
      <c r="HJ1126" s="4"/>
      <c r="HK1126" s="4"/>
      <c r="HL1126" s="4"/>
      <c r="HM1126" s="4"/>
      <c r="HN1126" s="4"/>
      <c r="HO1126" s="4"/>
      <c r="HP1126" s="4"/>
      <c r="HQ1126" s="4"/>
      <c r="HR1126" s="4"/>
    </row>
    <row r="1127" spans="36:226" s="74" customFormat="1" x14ac:dyDescent="0.25"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  <c r="HI1127" s="4"/>
      <c r="HJ1127" s="4"/>
      <c r="HK1127" s="4"/>
      <c r="HL1127" s="4"/>
      <c r="HM1127" s="4"/>
      <c r="HN1127" s="4"/>
      <c r="HO1127" s="4"/>
      <c r="HP1127" s="4"/>
      <c r="HQ1127" s="4"/>
      <c r="HR1127" s="4"/>
    </row>
    <row r="1128" spans="36:226" s="74" customFormat="1" x14ac:dyDescent="0.25"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  <c r="HI1128" s="4"/>
      <c r="HJ1128" s="4"/>
      <c r="HK1128" s="4"/>
      <c r="HL1128" s="4"/>
      <c r="HM1128" s="4"/>
      <c r="HN1128" s="4"/>
      <c r="HO1128" s="4"/>
      <c r="HP1128" s="4"/>
      <c r="HQ1128" s="4"/>
      <c r="HR1128" s="4"/>
    </row>
    <row r="1129" spans="36:226" s="74" customFormat="1" x14ac:dyDescent="0.25"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  <c r="HI1129" s="4"/>
      <c r="HJ1129" s="4"/>
      <c r="HK1129" s="4"/>
      <c r="HL1129" s="4"/>
      <c r="HM1129" s="4"/>
      <c r="HN1129" s="4"/>
      <c r="HO1129" s="4"/>
      <c r="HP1129" s="4"/>
      <c r="HQ1129" s="4"/>
      <c r="HR1129" s="4"/>
    </row>
    <row r="1130" spans="36:226" s="74" customFormat="1" x14ac:dyDescent="0.25"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  <c r="HI1130" s="4"/>
      <c r="HJ1130" s="4"/>
      <c r="HK1130" s="4"/>
      <c r="HL1130" s="4"/>
      <c r="HM1130" s="4"/>
      <c r="HN1130" s="4"/>
      <c r="HO1130" s="4"/>
      <c r="HP1130" s="4"/>
      <c r="HQ1130" s="4"/>
      <c r="HR1130" s="4"/>
    </row>
    <row r="1131" spans="36:226" s="74" customFormat="1" x14ac:dyDescent="0.25"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  <c r="HI1131" s="4"/>
      <c r="HJ1131" s="4"/>
      <c r="HK1131" s="4"/>
      <c r="HL1131" s="4"/>
      <c r="HM1131" s="4"/>
      <c r="HN1131" s="4"/>
      <c r="HO1131" s="4"/>
      <c r="HP1131" s="4"/>
      <c r="HQ1131" s="4"/>
      <c r="HR1131" s="4"/>
    </row>
    <row r="1132" spans="36:226" s="74" customFormat="1" x14ac:dyDescent="0.25"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  <c r="HI1132" s="4"/>
      <c r="HJ1132" s="4"/>
      <c r="HK1132" s="4"/>
      <c r="HL1132" s="4"/>
      <c r="HM1132" s="4"/>
      <c r="HN1132" s="4"/>
      <c r="HO1132" s="4"/>
      <c r="HP1132" s="4"/>
      <c r="HQ1132" s="4"/>
      <c r="HR1132" s="4"/>
    </row>
    <row r="1133" spans="36:226" s="74" customFormat="1" x14ac:dyDescent="0.25"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  <c r="HI1133" s="4"/>
      <c r="HJ1133" s="4"/>
      <c r="HK1133" s="4"/>
      <c r="HL1133" s="4"/>
      <c r="HM1133" s="4"/>
      <c r="HN1133" s="4"/>
      <c r="HO1133" s="4"/>
      <c r="HP1133" s="4"/>
      <c r="HQ1133" s="4"/>
      <c r="HR1133" s="4"/>
    </row>
    <row r="1134" spans="36:226" s="74" customFormat="1" x14ac:dyDescent="0.25"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  <c r="HI1134" s="4"/>
      <c r="HJ1134" s="4"/>
      <c r="HK1134" s="4"/>
      <c r="HL1134" s="4"/>
      <c r="HM1134" s="4"/>
      <c r="HN1134" s="4"/>
      <c r="HO1134" s="4"/>
      <c r="HP1134" s="4"/>
      <c r="HQ1134" s="4"/>
      <c r="HR1134" s="4"/>
    </row>
    <row r="1135" spans="36:226" s="74" customFormat="1" x14ac:dyDescent="0.25"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  <c r="HI1135" s="4"/>
      <c r="HJ1135" s="4"/>
      <c r="HK1135" s="4"/>
      <c r="HL1135" s="4"/>
      <c r="HM1135" s="4"/>
      <c r="HN1135" s="4"/>
      <c r="HO1135" s="4"/>
      <c r="HP1135" s="4"/>
      <c r="HQ1135" s="4"/>
      <c r="HR1135" s="4"/>
    </row>
    <row r="1136" spans="36:226" s="74" customFormat="1" x14ac:dyDescent="0.25"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  <c r="HI1136" s="4"/>
      <c r="HJ1136" s="4"/>
      <c r="HK1136" s="4"/>
      <c r="HL1136" s="4"/>
      <c r="HM1136" s="4"/>
      <c r="HN1136" s="4"/>
      <c r="HO1136" s="4"/>
      <c r="HP1136" s="4"/>
      <c r="HQ1136" s="4"/>
      <c r="HR1136" s="4"/>
    </row>
    <row r="1137" spans="36:226" s="74" customFormat="1" x14ac:dyDescent="0.25"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  <c r="HI1137" s="4"/>
      <c r="HJ1137" s="4"/>
      <c r="HK1137" s="4"/>
      <c r="HL1137" s="4"/>
      <c r="HM1137" s="4"/>
      <c r="HN1137" s="4"/>
      <c r="HO1137" s="4"/>
      <c r="HP1137" s="4"/>
      <c r="HQ1137" s="4"/>
      <c r="HR1137" s="4"/>
    </row>
    <row r="1138" spans="36:226" s="74" customFormat="1" x14ac:dyDescent="0.25"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  <c r="HI1138" s="4"/>
      <c r="HJ1138" s="4"/>
      <c r="HK1138" s="4"/>
      <c r="HL1138" s="4"/>
      <c r="HM1138" s="4"/>
      <c r="HN1138" s="4"/>
      <c r="HO1138" s="4"/>
      <c r="HP1138" s="4"/>
      <c r="HQ1138" s="4"/>
      <c r="HR1138" s="4"/>
    </row>
    <row r="1139" spans="36:226" s="74" customFormat="1" x14ac:dyDescent="0.25"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  <c r="HI1139" s="4"/>
      <c r="HJ1139" s="4"/>
      <c r="HK1139" s="4"/>
      <c r="HL1139" s="4"/>
      <c r="HM1139" s="4"/>
      <c r="HN1139" s="4"/>
      <c r="HO1139" s="4"/>
      <c r="HP1139" s="4"/>
      <c r="HQ1139" s="4"/>
      <c r="HR1139" s="4"/>
    </row>
    <row r="1140" spans="36:226" s="74" customFormat="1" x14ac:dyDescent="0.25"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  <c r="HI1140" s="4"/>
      <c r="HJ1140" s="4"/>
      <c r="HK1140" s="4"/>
      <c r="HL1140" s="4"/>
      <c r="HM1140" s="4"/>
      <c r="HN1140" s="4"/>
      <c r="HO1140" s="4"/>
      <c r="HP1140" s="4"/>
      <c r="HQ1140" s="4"/>
      <c r="HR1140" s="4"/>
    </row>
    <row r="1141" spans="36:226" s="74" customFormat="1" x14ac:dyDescent="0.25"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  <c r="HI1141" s="4"/>
      <c r="HJ1141" s="4"/>
      <c r="HK1141" s="4"/>
      <c r="HL1141" s="4"/>
      <c r="HM1141" s="4"/>
      <c r="HN1141" s="4"/>
      <c r="HO1141" s="4"/>
      <c r="HP1141" s="4"/>
      <c r="HQ1141" s="4"/>
      <c r="HR1141" s="4"/>
    </row>
    <row r="1142" spans="36:226" s="74" customFormat="1" x14ac:dyDescent="0.25"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  <c r="HI1142" s="4"/>
      <c r="HJ1142" s="4"/>
      <c r="HK1142" s="4"/>
      <c r="HL1142" s="4"/>
      <c r="HM1142" s="4"/>
      <c r="HN1142" s="4"/>
      <c r="HO1142" s="4"/>
      <c r="HP1142" s="4"/>
      <c r="HQ1142" s="4"/>
      <c r="HR1142" s="4"/>
    </row>
    <row r="1143" spans="36:226" s="74" customFormat="1" x14ac:dyDescent="0.25"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  <c r="HI1143" s="4"/>
      <c r="HJ1143" s="4"/>
      <c r="HK1143" s="4"/>
      <c r="HL1143" s="4"/>
      <c r="HM1143" s="4"/>
      <c r="HN1143" s="4"/>
      <c r="HO1143" s="4"/>
      <c r="HP1143" s="4"/>
      <c r="HQ1143" s="4"/>
      <c r="HR1143" s="4"/>
    </row>
    <row r="1144" spans="36:226" s="74" customFormat="1" x14ac:dyDescent="0.25"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  <c r="HI1144" s="4"/>
      <c r="HJ1144" s="4"/>
      <c r="HK1144" s="4"/>
      <c r="HL1144" s="4"/>
      <c r="HM1144" s="4"/>
      <c r="HN1144" s="4"/>
      <c r="HO1144" s="4"/>
      <c r="HP1144" s="4"/>
      <c r="HQ1144" s="4"/>
      <c r="HR1144" s="4"/>
    </row>
    <row r="1145" spans="36:226" s="74" customFormat="1" x14ac:dyDescent="0.25"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  <c r="HI1145" s="4"/>
      <c r="HJ1145" s="4"/>
      <c r="HK1145" s="4"/>
      <c r="HL1145" s="4"/>
      <c r="HM1145" s="4"/>
      <c r="HN1145" s="4"/>
      <c r="HO1145" s="4"/>
      <c r="HP1145" s="4"/>
      <c r="HQ1145" s="4"/>
      <c r="HR1145" s="4"/>
    </row>
    <row r="1146" spans="36:226" s="74" customFormat="1" x14ac:dyDescent="0.25"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  <c r="HI1146" s="4"/>
      <c r="HJ1146" s="4"/>
      <c r="HK1146" s="4"/>
      <c r="HL1146" s="4"/>
      <c r="HM1146" s="4"/>
      <c r="HN1146" s="4"/>
      <c r="HO1146" s="4"/>
      <c r="HP1146" s="4"/>
      <c r="HQ1146" s="4"/>
      <c r="HR1146" s="4"/>
    </row>
    <row r="1147" spans="36:226" s="74" customFormat="1" x14ac:dyDescent="0.25"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  <c r="HI1147" s="4"/>
      <c r="HJ1147" s="4"/>
      <c r="HK1147" s="4"/>
      <c r="HL1147" s="4"/>
      <c r="HM1147" s="4"/>
      <c r="HN1147" s="4"/>
      <c r="HO1147" s="4"/>
      <c r="HP1147" s="4"/>
      <c r="HQ1147" s="4"/>
      <c r="HR1147" s="4"/>
    </row>
    <row r="1148" spans="36:226" s="74" customFormat="1" x14ac:dyDescent="0.25"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  <c r="HI1148" s="4"/>
      <c r="HJ1148" s="4"/>
      <c r="HK1148" s="4"/>
      <c r="HL1148" s="4"/>
      <c r="HM1148" s="4"/>
      <c r="HN1148" s="4"/>
      <c r="HO1148" s="4"/>
      <c r="HP1148" s="4"/>
      <c r="HQ1148" s="4"/>
      <c r="HR1148" s="4"/>
    </row>
    <row r="1149" spans="36:226" s="74" customFormat="1" x14ac:dyDescent="0.25"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  <c r="HI1149" s="4"/>
      <c r="HJ1149" s="4"/>
      <c r="HK1149" s="4"/>
      <c r="HL1149" s="4"/>
      <c r="HM1149" s="4"/>
      <c r="HN1149" s="4"/>
      <c r="HO1149" s="4"/>
      <c r="HP1149" s="4"/>
      <c r="HQ1149" s="4"/>
      <c r="HR1149" s="4"/>
    </row>
    <row r="1150" spans="36:226" s="74" customFormat="1" x14ac:dyDescent="0.25"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  <c r="HI1150" s="4"/>
      <c r="HJ1150" s="4"/>
      <c r="HK1150" s="4"/>
      <c r="HL1150" s="4"/>
      <c r="HM1150" s="4"/>
      <c r="HN1150" s="4"/>
      <c r="HO1150" s="4"/>
      <c r="HP1150" s="4"/>
      <c r="HQ1150" s="4"/>
      <c r="HR1150" s="4"/>
    </row>
    <row r="1151" spans="36:226" s="74" customFormat="1" x14ac:dyDescent="0.25"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  <c r="HI1151" s="4"/>
      <c r="HJ1151" s="4"/>
      <c r="HK1151" s="4"/>
      <c r="HL1151" s="4"/>
      <c r="HM1151" s="4"/>
      <c r="HN1151" s="4"/>
      <c r="HO1151" s="4"/>
      <c r="HP1151" s="4"/>
      <c r="HQ1151" s="4"/>
      <c r="HR1151" s="4"/>
    </row>
    <row r="1152" spans="36:226" s="74" customFormat="1" x14ac:dyDescent="0.25"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  <c r="HI1152" s="4"/>
      <c r="HJ1152" s="4"/>
      <c r="HK1152" s="4"/>
      <c r="HL1152" s="4"/>
      <c r="HM1152" s="4"/>
      <c r="HN1152" s="4"/>
      <c r="HO1152" s="4"/>
      <c r="HP1152" s="4"/>
      <c r="HQ1152" s="4"/>
      <c r="HR1152" s="4"/>
    </row>
    <row r="1153" spans="36:226" s="74" customFormat="1" x14ac:dyDescent="0.25"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  <c r="HI1153" s="4"/>
      <c r="HJ1153" s="4"/>
      <c r="HK1153" s="4"/>
      <c r="HL1153" s="4"/>
      <c r="HM1153" s="4"/>
      <c r="HN1153" s="4"/>
      <c r="HO1153" s="4"/>
      <c r="HP1153" s="4"/>
      <c r="HQ1153" s="4"/>
      <c r="HR1153" s="4"/>
    </row>
    <row r="1154" spans="36:226" s="74" customFormat="1" x14ac:dyDescent="0.25"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  <c r="HI1154" s="4"/>
      <c r="HJ1154" s="4"/>
      <c r="HK1154" s="4"/>
      <c r="HL1154" s="4"/>
      <c r="HM1154" s="4"/>
      <c r="HN1154" s="4"/>
      <c r="HO1154" s="4"/>
      <c r="HP1154" s="4"/>
      <c r="HQ1154" s="4"/>
      <c r="HR1154" s="4"/>
    </row>
    <row r="1155" spans="36:226" s="74" customFormat="1" x14ac:dyDescent="0.25"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  <c r="HI1155" s="4"/>
      <c r="HJ1155" s="4"/>
      <c r="HK1155" s="4"/>
      <c r="HL1155" s="4"/>
      <c r="HM1155" s="4"/>
      <c r="HN1155" s="4"/>
      <c r="HO1155" s="4"/>
      <c r="HP1155" s="4"/>
      <c r="HQ1155" s="4"/>
      <c r="HR1155" s="4"/>
    </row>
    <row r="1156" spans="36:226" s="74" customFormat="1" x14ac:dyDescent="0.25"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  <c r="HI1156" s="4"/>
      <c r="HJ1156" s="4"/>
      <c r="HK1156" s="4"/>
      <c r="HL1156" s="4"/>
      <c r="HM1156" s="4"/>
      <c r="HN1156" s="4"/>
      <c r="HO1156" s="4"/>
      <c r="HP1156" s="4"/>
      <c r="HQ1156" s="4"/>
      <c r="HR1156" s="4"/>
    </row>
    <row r="1157" spans="36:226" s="74" customFormat="1" x14ac:dyDescent="0.25"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  <c r="HI1157" s="4"/>
      <c r="HJ1157" s="4"/>
      <c r="HK1157" s="4"/>
      <c r="HL1157" s="4"/>
      <c r="HM1157" s="4"/>
      <c r="HN1157" s="4"/>
      <c r="HO1157" s="4"/>
      <c r="HP1157" s="4"/>
      <c r="HQ1157" s="4"/>
      <c r="HR1157" s="4"/>
    </row>
    <row r="1158" spans="36:226" s="74" customFormat="1" x14ac:dyDescent="0.25"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  <c r="HI1158" s="4"/>
      <c r="HJ1158" s="4"/>
      <c r="HK1158" s="4"/>
      <c r="HL1158" s="4"/>
      <c r="HM1158" s="4"/>
      <c r="HN1158" s="4"/>
      <c r="HO1158" s="4"/>
      <c r="HP1158" s="4"/>
      <c r="HQ1158" s="4"/>
      <c r="HR1158" s="4"/>
    </row>
  </sheetData>
  <sheetProtection sheet="1" algorithmName="SHA-512" hashValue="6nd3WlT543vRCJ6ML+yC3W/lh27U7yjNWWsIY9p+V+cY5l7h7jnRuRxZww+KiB2yYU0GY1OKWEDFbM9Rr18Etw==" saltValue="CdP2JgPCIZCclYvSuY0mzg==" spinCount="100000" objects="1" scenarios="1"/>
  <mergeCells count="91">
    <mergeCell ref="C8:F8"/>
    <mergeCell ref="G8:Q8"/>
    <mergeCell ref="T8:W8"/>
    <mergeCell ref="X8:AH8"/>
    <mergeCell ref="C9:F9"/>
    <mergeCell ref="G9:Q9"/>
    <mergeCell ref="T9:W9"/>
    <mergeCell ref="X9:AH9"/>
    <mergeCell ref="C10:F10"/>
    <mergeCell ref="G10:Q10"/>
    <mergeCell ref="T10:W10"/>
    <mergeCell ref="X10:AH10"/>
    <mergeCell ref="C11:F11"/>
    <mergeCell ref="G11:Q11"/>
    <mergeCell ref="T11:W11"/>
    <mergeCell ref="X11:AH11"/>
    <mergeCell ref="C12:F12"/>
    <mergeCell ref="G12:Q12"/>
    <mergeCell ref="T12:W12"/>
    <mergeCell ref="X12:AH12"/>
    <mergeCell ref="D16:M16"/>
    <mergeCell ref="N16:Q16"/>
    <mergeCell ref="U16:AD16"/>
    <mergeCell ref="AE16:AH16"/>
    <mergeCell ref="D18:M18"/>
    <mergeCell ref="N18:Q18"/>
    <mergeCell ref="U18:AD18"/>
    <mergeCell ref="AE18:AH18"/>
    <mergeCell ref="D19:M19"/>
    <mergeCell ref="N19:Q19"/>
    <mergeCell ref="U19:AD19"/>
    <mergeCell ref="AE19:AH19"/>
    <mergeCell ref="D20:M20"/>
    <mergeCell ref="N20:Q20"/>
    <mergeCell ref="U20:AD20"/>
    <mergeCell ref="AE20:AH20"/>
    <mergeCell ref="D21:M21"/>
    <mergeCell ref="N21:Q21"/>
    <mergeCell ref="U21:AD21"/>
    <mergeCell ref="AE21:AH21"/>
    <mergeCell ref="D22:M22"/>
    <mergeCell ref="N22:Q22"/>
    <mergeCell ref="U22:AD22"/>
    <mergeCell ref="AE22:AH22"/>
    <mergeCell ref="D23:M23"/>
    <mergeCell ref="N23:Q23"/>
    <mergeCell ref="U23:AD23"/>
    <mergeCell ref="AE23:AH23"/>
    <mergeCell ref="D24:M24"/>
    <mergeCell ref="N24:Q24"/>
    <mergeCell ref="U24:AD24"/>
    <mergeCell ref="AE24:AH24"/>
    <mergeCell ref="D25:M25"/>
    <mergeCell ref="N25:Q25"/>
    <mergeCell ref="U25:AD25"/>
    <mergeCell ref="AE25:AH25"/>
    <mergeCell ref="D26:M26"/>
    <mergeCell ref="N26:Q26"/>
    <mergeCell ref="U26:AD26"/>
    <mergeCell ref="AE26:AH26"/>
    <mergeCell ref="D27:M27"/>
    <mergeCell ref="N27:Q27"/>
    <mergeCell ref="U27:AD27"/>
    <mergeCell ref="AE27:AH27"/>
    <mergeCell ref="C28:M28"/>
    <mergeCell ref="N28:Q28"/>
    <mergeCell ref="T28:AD28"/>
    <mergeCell ref="AE28:AH28"/>
    <mergeCell ref="T30:AD30"/>
    <mergeCell ref="AE30:AH30"/>
    <mergeCell ref="T31:AD31"/>
    <mergeCell ref="AE31:AH31"/>
    <mergeCell ref="T32:AD32"/>
    <mergeCell ref="AE32:AH32"/>
    <mergeCell ref="C33:G33"/>
    <mergeCell ref="H33:K33"/>
    <mergeCell ref="T33:AD33"/>
    <mergeCell ref="AE33:AH33"/>
    <mergeCell ref="C34:E34"/>
    <mergeCell ref="F34:G34"/>
    <mergeCell ref="H34:K34"/>
    <mergeCell ref="T34:AD34"/>
    <mergeCell ref="AE34:AH34"/>
    <mergeCell ref="C35:E36"/>
    <mergeCell ref="F35:G35"/>
    <mergeCell ref="H35:K35"/>
    <mergeCell ref="T35:AH36"/>
    <mergeCell ref="F36:G36"/>
    <mergeCell ref="H36:K36"/>
    <mergeCell ref="X38:Z38"/>
    <mergeCell ref="AA38:AH38"/>
  </mergeCells>
  <conditionalFormatting sqref="H35:L36">
    <cfRule type="iconSet" priority="1">
      <iconSet iconSet="3Symbols2">
        <cfvo type="percent" val="0"/>
        <cfvo type="percent" val="33"/>
        <cfvo type="percent" val="67"/>
      </iconSet>
    </cfRule>
  </conditionalFormatting>
  <dataValidations count="17">
    <dataValidation type="textLength" allowBlank="1" showInputMessage="1" showErrorMessage="1" sqref="AA10:AH10">
      <formula1>1</formula1>
      <formula2>99</formula2>
    </dataValidation>
    <dataValidation type="decimal" allowBlank="1" showInputMessage="1" showErrorMessage="1" sqref="AA11:AH11">
      <formula1>1</formula1>
      <formula2>99999999999999</formula2>
    </dataValidation>
    <dataValidation showInputMessage="1" promptTitle="Deducible:" prompt="Se asignara el mayor valor entre el 75% del SMMLV o el 10% del total liquidado segun corresponda." showErrorMessage="1" sqref="AA31:AH31"/>
    <dataValidation type="date" allowBlank="1" showInputMessage="1" showErrorMessage="1" sqref="AA8:AH8">
      <formula1>1</formula1>
      <formula2>401404</formula2>
    </dataValidation>
    <dataValidation type="textLength" allowBlank="1" showInputMessage="1" showErrorMessage="1" sqref="AA9:AH9">
      <formula1>1</formula1>
      <formula2>100</formula2>
    </dataValidation>
    <dataValidation type="decimal" allowBlank="1" showInputMessage="1" showErrorMessage="1" sqref="AE18:AH27">
      <formula1>0</formula1>
      <formula2>999999999</formula2>
    </dataValidation>
    <dataValidation showInputMessage="1" promptTitle="Deducible:" prompt="Se asignara el mayor valor entre el 75% del SMMLV o el 10% del total liquidado segun corresponda." showErrorMessage="1" sqref="C35:E36"/>
    <dataValidation type="textLength" allowBlank="1" showInputMessage="1" showErrorMessage="1" sqref="G8:Q8">
      <formula1>1</formula1>
      <formula2>99</formula2>
    </dataValidation>
    <dataValidation type="textLength" allowBlank="1" showInputMessage="1" showErrorMessage="1" sqref="G9:Q9">
      <formula1>1</formula1>
      <formula2>100</formula2>
    </dataValidation>
    <dataValidation type="decimal" allowBlank="1" showInputMessage="1" showErrorMessage="1" sqref="H33:K33">
      <formula1>0</formula1>
      <formula2>9999999999</formula2>
    </dataValidation>
    <dataValidation type="decimal" allowBlank="1" showInputMessage="1" showErrorMessage="1" sqref="N18:Q27">
      <formula1>0</formula1>
      <formula2>999999999</formula2>
    </dataValidation>
    <dataValidation showInputMessage="1" promptTitle="Cedula:" prompt="Solo son validos valores numericos." showErrorMessage="1" sqref="T11:W11"/>
    <dataValidation showInputMessage="1" promptTitle="Deducible:" prompt="Se asignara el mayor valor entre el 75% del SMMLV o el 10% del total liquidado segun corresponda." showErrorMessage="1" sqref="T31:AH31"/>
    <dataValidation type="textLength" allowBlank="1" showInputMessage="1" showErrorMessage="1" sqref="X10:AH10">
      <formula1>1</formula1>
      <formula2>99</formula2>
    </dataValidation>
    <dataValidation type="decimal" allowBlank="1" showInputMessage="1" showErrorMessage="1" sqref="X11:AH11">
      <formula1>1</formula1>
      <formula2>99999999999999</formula2>
    </dataValidation>
    <dataValidation type="date" allowBlank="1" showInputMessage="1" showErrorMessage="1" sqref="X8:AH8">
      <formula1>1</formula1>
      <formula2>401404</formula2>
    </dataValidation>
    <dataValidation type="textLength" allowBlank="1" showInputMessage="1" showErrorMessage="1" sqref="X9:AH9">
      <formula1>1</formula1>
      <formula2>100</formula2>
    </dataValidation>
  </dataValidations>
  <pageMargins left="0.33" right="0.25" top="0.9099999999999999" bottom="0.75" header="0.3" footer="0.3"/>
  <pageSetup orientation="landscape" horizontalDpi="4294967295" verticalDpi="4294967295" cellComments="atEnd" scale="44" fitToWidth="1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3"/>
  <sheetViews>
    <sheetView workbookViewId="0" showRowColHeaders="0" showGridLines="0" zoomScale="100" zoomScaleNormal="100">
      <selection activeCell="C10" sqref="C10"/>
    </sheetView>
  </sheetViews>
  <sheetFormatPr defaultRowHeight="10.5" outlineLevelRow="0" outlineLevelCol="0" x14ac:dyDescent="0.25" defaultColWidth="11.25" customHeight="1"/>
  <cols>
    <col min="1" max="1" width="2.33203125" style="88" customWidth="1"/>
    <col min="2" max="2" width="11.25" style="88" customWidth="1"/>
    <col min="3" max="3" width="12.58203125" style="89" customWidth="1"/>
    <col min="4" max="4" width="4.75" style="88" customWidth="1"/>
    <col min="5" max="16384" width="11.25" style="88" customWidth="1"/>
  </cols>
  <sheetData>
    <row r="2" ht="13" customHeight="1" spans="2:5" x14ac:dyDescent="0.25">
      <c r="B2" s="90" t="s">
        <v>37</v>
      </c>
      <c r="C2" s="90"/>
      <c r="E2" s="91" t="s">
        <v>38</v>
      </c>
    </row>
    <row r="3" spans="2:5" x14ac:dyDescent="0.25">
      <c r="B3" s="92">
        <v>2020</v>
      </c>
      <c r="C3" s="93">
        <v>877803</v>
      </c>
      <c r="E3" s="92">
        <v>0</v>
      </c>
    </row>
    <row r="4" spans="2:5" x14ac:dyDescent="0.25">
      <c r="B4" s="92">
        <v>2021</v>
      </c>
      <c r="C4" s="93">
        <v>908526</v>
      </c>
      <c r="E4" s="92">
        <v>0.5</v>
      </c>
    </row>
    <row r="5" spans="2:5" x14ac:dyDescent="0.25">
      <c r="B5" s="92">
        <v>2022</v>
      </c>
      <c r="C5" s="93">
        <v>1000000</v>
      </c>
      <c r="E5" s="92">
        <v>0.75</v>
      </c>
    </row>
    <row r="6" spans="2:5" x14ac:dyDescent="0.25">
      <c r="B6" s="92">
        <v>2023</v>
      </c>
      <c r="C6" s="93">
        <v>1160000</v>
      </c>
      <c r="E6" s="92"/>
    </row>
    <row r="7" spans="2:5" x14ac:dyDescent="0.25">
      <c r="B7" s="92">
        <v>2024</v>
      </c>
      <c r="C7" s="93">
        <v>1300000</v>
      </c>
      <c r="E7" s="92"/>
    </row>
    <row r="8" spans="2:5" x14ac:dyDescent="0.25">
      <c r="B8" s="92">
        <v>2025</v>
      </c>
      <c r="C8" s="93">
        <v>1423500</v>
      </c>
      <c r="E8" s="92"/>
    </row>
    <row r="9" spans="2:5" x14ac:dyDescent="0.25">
      <c r="B9" s="92">
        <v>2026</v>
      </c>
      <c r="C9" s="93">
        <v>1750905</v>
      </c>
      <c r="E9" s="92"/>
    </row>
    <row r="10" spans="2:5" x14ac:dyDescent="0.25">
      <c r="B10" s="92">
        <v>2027</v>
      </c>
      <c r="C10" s="93"/>
      <c r="E10" s="92"/>
    </row>
    <row r="11" spans="2:5" x14ac:dyDescent="0.25">
      <c r="B11" s="92">
        <v>2028</v>
      </c>
      <c r="C11" s="93"/>
      <c r="E11" s="92"/>
    </row>
    <row r="12" spans="2:5" x14ac:dyDescent="0.25">
      <c r="B12" s="92">
        <v>2029</v>
      </c>
      <c r="C12" s="93"/>
      <c r="E12" s="92"/>
    </row>
    <row r="13" spans="2:5" x14ac:dyDescent="0.25">
      <c r="B13" s="92">
        <v>2030</v>
      </c>
      <c r="C13" s="93"/>
      <c r="E13" s="9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 showGridLines="0" zoomScale="70" zoomScaleNormal="70">
      <selection activeCell="F13" sqref="F13"/>
    </sheetView>
  </sheetViews>
  <sheetFormatPr defaultRowHeight="12.5" outlineLevelRow="0" outlineLevelCol="0" x14ac:dyDescent="0.25" defaultColWidth="11.25" customHeight="1"/>
  <cols>
    <col min="1" max="1" width="22.08203125" style="94" customWidth="1"/>
    <col min="2" max="2" width="29.08203125" style="94" customWidth="1"/>
    <col min="3" max="3" width="12.75" style="94" customWidth="1"/>
    <col min="4" max="4" width="15.33203125" style="94" customWidth="1"/>
    <col min="5" max="5" width="12.33203125" style="94" customWidth="1"/>
    <col min="6" max="7" width="13.25" style="94" customWidth="1"/>
    <col min="8" max="8" width="16.75" style="94" customWidth="1"/>
    <col min="9" max="9" width="25.5" style="94" customWidth="1"/>
    <col min="10" max="10" width="15.5" style="94" customWidth="1"/>
    <col min="11" max="11" width="22" style="94" customWidth="1"/>
    <col min="12" max="12" width="11.08203125" style="94" customWidth="1"/>
    <col min="13" max="13" width="15.75" style="94" customWidth="1"/>
    <col min="14" max="14" width="12.08203125" style="94" customWidth="1"/>
    <col min="15" max="15" width="14.5" style="94" customWidth="1"/>
    <col min="16" max="16" width="19.5" style="94" customWidth="1"/>
    <col min="17" max="17" width="47.08203125" style="94" customWidth="1"/>
    <col min="18" max="18" width="25.5" style="94" customWidth="1"/>
    <col min="19" max="16384" width="11.25" style="94" customWidth="1"/>
  </cols>
  <sheetData>
    <row r="1" ht="13" customHeight="1" spans="1:18" x14ac:dyDescent="0.25">
      <c r="A1" s="95" t="s">
        <v>39</v>
      </c>
      <c r="B1" s="96" t="s">
        <v>40</v>
      </c>
      <c r="C1" s="96" t="s">
        <v>41</v>
      </c>
      <c r="D1" s="96" t="s">
        <v>42</v>
      </c>
      <c r="E1" s="96" t="s">
        <v>43</v>
      </c>
      <c r="F1" s="96" t="s">
        <v>44</v>
      </c>
      <c r="G1" s="96" t="s">
        <v>45</v>
      </c>
      <c r="H1" s="96" t="s">
        <v>46</v>
      </c>
      <c r="I1" s="96" t="s">
        <v>47</v>
      </c>
      <c r="J1" s="96" t="s">
        <v>48</v>
      </c>
      <c r="K1" s="96" t="s">
        <v>49</v>
      </c>
      <c r="L1" s="96" t="s">
        <v>50</v>
      </c>
      <c r="M1" s="96" t="s">
        <v>38</v>
      </c>
      <c r="N1" s="96" t="s">
        <v>51</v>
      </c>
      <c r="O1" s="96" t="s">
        <v>52</v>
      </c>
      <c r="P1" s="96" t="s">
        <v>53</v>
      </c>
      <c r="Q1" s="96" t="s">
        <v>54</v>
      </c>
      <c r="R1" s="97" t="s">
        <v>55</v>
      </c>
    </row>
    <row r="2" ht="13" customHeight="1" spans="1:18" x14ac:dyDescent="0.25">
      <c r="A2" s="98" t="str">
        <f>+Liquidador!G8</f>
        <v>FUNDACION DE LA MUJER </v>
      </c>
      <c r="B2" s="99" t="str">
        <f>+Liquidador!G9</f>
        <v>DANIEL JOSE NARVAEZ DORIA </v>
      </c>
      <c r="C2" s="99" t="str">
        <f>+Liquidador!G10</f>
        <v>AB003073</v>
      </c>
      <c r="D2" s="99" t="s">
        <v>56</v>
      </c>
      <c r="E2" s="99">
        <f>+Liquidador!G11</f>
        <v>2608</v>
      </c>
      <c r="F2" s="99" t="str">
        <f>+Liquidador!X10</f>
        <v>ANEGACION</v>
      </c>
      <c r="G2" s="100">
        <f>+Liquidador!X11</f>
        <v>1063164401</v>
      </c>
      <c r="H2" s="99" t="str">
        <f>+Liquidador!X12</f>
        <v>microseguros daños basico empresa </v>
      </c>
      <c r="I2" s="101">
        <f>+Liquidador!X8</f>
        <v>46055</v>
      </c>
      <c r="J2" s="99" t="str">
        <f>+Liquidador!X9</f>
        <v>Diagonal 10B carrera 2 - 10 barrio abajo </v>
      </c>
      <c r="K2" s="102">
        <f>+Liquidador!AE30</f>
        <v>7800000</v>
      </c>
      <c r="L2" s="103">
        <f>+Liquidador!F35</f>
        <v>0.75</v>
      </c>
      <c r="M2" s="102">
        <f>-Liquidador!AE31</f>
        <v>-1313178.75</v>
      </c>
      <c r="N2" s="102">
        <f>+Liquidador!AE32</f>
        <v>6486821.25</v>
      </c>
      <c r="O2" s="102">
        <f>+Liquidador!H33</f>
        <v>0</v>
      </c>
      <c r="P2" s="102">
        <f>+Liquidador!AE34</f>
        <v>6486821.25</v>
      </c>
      <c r="Q2" s="99" t="str">
        <f>+Liquidador!T35</f>
        <v>Seis Millones Cuatrocientos Ochenta Seis Mil Ochocientos Veinte Uno Pesos M/Cte.</v>
      </c>
      <c r="R2" s="104">
        <f>+Liquidador!AA38</f>
        <v>46066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workbookViewId="0" showRowColHeaders="0" showGridLines="0" zoomScale="100" zoomScaleNormal="100">
      <selection activeCell="G3" sqref="G3"/>
    </sheetView>
  </sheetViews>
  <sheetFormatPr defaultRowHeight="12" outlineLevelRow="0" outlineLevelCol="0" x14ac:dyDescent="0.3" defaultColWidth="3.75" customHeight="1"/>
  <cols>
    <col min="1" max="1" width="3.75" style="75" customWidth="1"/>
    <col min="2" max="2" width="5" style="75" customWidth="1"/>
    <col min="3" max="3" width="4.83203125" style="75" customWidth="1"/>
    <col min="4" max="4" width="4.75" style="75" customWidth="1"/>
    <col min="5" max="6" width="3.75" style="75" customWidth="1"/>
    <col min="7" max="7" width="2.83203125" style="75" customWidth="1"/>
    <col min="8" max="8" width="2.08203125" style="75" customWidth="1"/>
    <col min="9" max="20" width="3.75" style="75" customWidth="1"/>
    <col min="21" max="21" width="20.08203125" style="76" hidden="1" customWidth="1"/>
    <col min="22" max="16384" width="3.75" style="75" customWidth="1"/>
  </cols>
  <sheetData>
    <row r="1" ht="12" customHeight="1" spans="1:19" x14ac:dyDescent="0.25">
      <c r="A1" s="77" t="s">
        <v>30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ht="12" customHeight="1" spans="1:19" x14ac:dyDescent="0.25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</row>
    <row r="3" ht="12" customHeight="1" spans="1:21" x14ac:dyDescent="0.25">
      <c r="A3" s="79" t="s">
        <v>0</v>
      </c>
      <c r="B3" s="79"/>
      <c r="C3" s="79"/>
      <c r="D3" s="79"/>
      <c r="E3" s="79"/>
      <c r="F3" s="79"/>
      <c r="G3" s="75" t="str">
        <f>+Liquidador!G8</f>
        <v>FUNDACION DE LA MUJER 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U3" s="80">
        <f>+Liquidador!AE34</f>
        <v>6486821.25</v>
      </c>
    </row>
    <row r="4" ht="12" customHeight="1" spans="1:21" x14ac:dyDescent="0.25">
      <c r="A4" s="79" t="s">
        <v>31</v>
      </c>
      <c r="B4" s="79"/>
      <c r="C4" s="79"/>
      <c r="D4" s="79"/>
      <c r="E4" s="79"/>
      <c r="F4" s="79"/>
      <c r="G4" s="75" t="str">
        <f>+Liquidador!G9</f>
        <v>DANIEL JOSE NARVAEZ DORIA </v>
      </c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U4" s="80" t="str">
        <f>SUBSTITUTE(Liquidador!T35, "Pesos M/Cte", "PESOS M/CTE")</f>
        <v>Seis Millones Cuatrocientos Ochenta Seis Mil Ochocientos Veinte Uno PESOS M/CTE.</v>
      </c>
    </row>
    <row r="5" ht="12" customHeight="1" spans="1:21" x14ac:dyDescent="0.25">
      <c r="A5" s="79" t="s">
        <v>12</v>
      </c>
      <c r="B5" s="79"/>
      <c r="C5" s="79"/>
      <c r="D5" s="79"/>
      <c r="E5" s="79"/>
      <c r="F5" s="79"/>
      <c r="G5" s="75" t="str">
        <f>+Liquidador!X12</f>
        <v>microseguros daños basico empresa 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U5" s="80">
        <f>+Liquidador!AE30</f>
        <v>7800000</v>
      </c>
    </row>
    <row r="6" ht="12" customHeight="1" spans="1:21" x14ac:dyDescent="0.25">
      <c r="A6" s="79" t="s">
        <v>6</v>
      </c>
      <c r="B6" s="79"/>
      <c r="C6" s="79"/>
      <c r="D6" s="79"/>
      <c r="E6" s="79"/>
      <c r="F6" s="79"/>
      <c r="G6" s="75" t="str">
        <f>+Liquidador!G10</f>
        <v>AB003073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U6" s="81">
        <f>+Liquidador!F35</f>
        <v>0.75</v>
      </c>
    </row>
    <row r="7" ht="12" customHeight="1" spans="1:21" x14ac:dyDescent="0.25">
      <c r="A7" s="79" t="s">
        <v>9</v>
      </c>
      <c r="B7" s="79"/>
      <c r="C7" s="79"/>
      <c r="D7" s="79"/>
      <c r="E7" s="79"/>
      <c r="F7" s="79"/>
      <c r="G7" s="75">
        <f>+Liquidador!G11</f>
        <v>2608</v>
      </c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U7" s="80">
        <f>+Liquidador!H35</f>
        <v>1313178.75</v>
      </c>
    </row>
    <row r="8" ht="12" customHeight="1" spans="1:21" x14ac:dyDescent="0.25">
      <c r="A8" s="79" t="s">
        <v>11</v>
      </c>
      <c r="B8" s="79"/>
      <c r="C8" s="79"/>
      <c r="D8" s="79"/>
      <c r="E8" s="79"/>
      <c r="F8" s="79"/>
      <c r="G8" s="75">
        <f>+Liquidador!G12</f>
        <v>0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U8" s="80">
        <f>+Liquidador!AE32</f>
        <v>6486821.25</v>
      </c>
    </row>
    <row r="9" ht="12" customHeight="1" spans="1:21" x14ac:dyDescent="0.25">
      <c r="A9" s="79" t="s">
        <v>32</v>
      </c>
      <c r="B9" s="79"/>
      <c r="C9" s="79"/>
      <c r="D9" s="79"/>
      <c r="E9" s="79"/>
      <c r="F9" s="79"/>
      <c r="G9" s="75" t="s">
        <v>33</v>
      </c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U9" s="80">
        <f>+Liquidador!H33</f>
        <v>0</v>
      </c>
    </row>
    <row r="10" ht="12" customHeight="1" spans="1:19" x14ac:dyDescent="0.25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ht="12" customHeight="1" spans="1:20" x14ac:dyDescent="0.25">
      <c r="A11" s="82" t="str">
        <f>CONCATENATE(G4," ","identificado (a) como aparece al pie de mi firma, obrando en calidad de asegurado (a) beneficiario (a), y afectado (a) por el siniestro de la póliza citada, por medio del presente documento hago constar:")</f>
        <v>DANIEL JOSE NARVAEZ DORIA  identificado (a) como aparece al pie de mi firma, obrando en calidad de asegurado (a) beneficiario (a), y afectado (a) por el siniestro de la póliza citada, por medio del presente documento hago constar:</v>
      </c>
      <c r="B11" s="82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3"/>
    </row>
    <row r="12" ht="12" customHeight="1" spans="1:20" x14ac:dyDescent="0.25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3"/>
    </row>
    <row r="13" ht="12" customHeight="1" spans="1:20" x14ac:dyDescent="0.25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3"/>
    </row>
    <row r="14" ht="12" customHeight="1" spans="1:20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83"/>
    </row>
    <row r="15" ht="12" customHeight="1" spans="1:20" x14ac:dyDescent="0.25">
      <c r="A15" s="84" t="str">
        <f>"PRIMERO. - Que he llegado con LA EQUIDAD SEGUROS GENERALES O.C., aseguradora de los riesgos de Básico Empresa Fundación de la Mujer, a un arreglo transaccional definitivo, con ocasión al evento" &amp; " " &amp; Liquidador!X10 &amp; " que afectó el bien asegurado, en la dirección: " &amp; Liquidador!X9 &amp; ", en hechos ocurridos el " &amp; TEXT(Liquidador!X8, "dddd, d \d\e mmmm \d\e yyyy") &amp; "."</f>
        <v>PRIMERO. - Que he llegado con LA EQUIDAD SEGUROS GENERALES O.C., aseguradora de los riesgos de Básico Empresa Fundación de la Mujer, a un arreglo transaccional definitivo, con ocasión al evento ANEGACION que afectó el bien asegurado, en la dirección: Diagonal 10B carrera 2 - 10 barrio abajo , en hechos ocurridos el lunes, 2 de febrero de 2026.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3"/>
    </row>
    <row r="16" ht="7.9" customHeight="1" spans="1:19" x14ac:dyDescent="0.25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</row>
    <row r="17" ht="12" customHeight="1" spans="1:19" x14ac:dyDescent="0.25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</row>
    <row r="18" ht="12" customHeight="1" spans="1:21" x14ac:dyDescent="0.25">
      <c r="A18" s="82" t="str">
        <f>"SEGUNDO. - Que recibiré de LA EQUIDAD SEGUROS GENERALES O.C., la suma de: " &amp;
"($" &amp; TEXT(U3, "#.##0,00")&amp; ")-(" &amp; U4 &amp; "), valor en que estimo los perjuicios sufridos, dado que el total de la pérdida según valor ajustado por la aseguradora es por valor de " &amp;
"($" &amp; TEXT(U5, "#.##0,00") &amp; ") menos deducible de " &amp; U6 &amp; " SMMLV ($" &amp; TEXT(U7, "#.##0,00") &amp;
"), para un total a indemnizar de: " &amp; "($" &amp; TEXT(U8, "#.##0,00") &amp; ") + Subsidio " &amp; "($" &amp; TEXT(U9, "#.##0,00") &amp;
") = ($" &amp; TEXT(U3, "#.##0,00") &amp; ")."</f>
        <v>SEGUNDO. - Que recibiré de LA EQUIDAD SEGUROS GENERALES O.C., la suma de: ($6.486.821,25)-(Seis Millones Cuatrocientos Ochenta Seis Mil Ochocientos Veinte Uno PESOS M/CTE.), valor en que estimo los perjuicios sufridos, dado que el total de la pérdida según valor ajustado por la aseguradora es por valor de ($7.800.000,00) menos deducible de 0,75 SMMLV ($1.313.178,75), para un total a indemnizar de: ($6.486.821,25) + Subsidio ($0,00) = ($6.486.821,25).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U18" s="75"/>
    </row>
    <row r="19" ht="12" customHeight="1" spans="1:21" x14ac:dyDescent="0.25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U19" s="75"/>
    </row>
    <row r="20" ht="12" customHeight="1" spans="1:21" x14ac:dyDescent="0.25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U20" s="75"/>
    </row>
    <row r="21" ht="12" customHeight="1" spans="1:21" x14ac:dyDescent="0.25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U21" s="75"/>
    </row>
    <row r="22" ht="12" customHeight="1" spans="1:21" x14ac:dyDescent="0.25">
      <c r="A22" s="84" t="str">
        <f>+_xlfn.CONCAT("TERCERO. - Que en consecuencia de lo anterior declaro a PAZ Y SALVO y libre de posteriores reclamos a LA EQUIDAD SEGUROS GENERALES O.C., por los hechos el ",TEXT(Liquidador!X8, "dddd, d \d\e mmmm \d\e yyyy") &amp; ".")</f>
        <v>TERCERO. - Que en consecuencia de lo anterior declaro a PAZ Y SALVO y libre de posteriores reclamos a LA EQUIDAD SEGUROS GENERALES O.C., por los hechos el lunes, 2 de febrero de 2026.</v>
      </c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U22" s="75"/>
    </row>
    <row r="23" ht="12" customHeight="1" spans="1:19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</row>
    <row r="24" ht="12" customHeight="1" spans="1:19" x14ac:dyDescent="0.25">
      <c r="A24" s="84" t="s">
        <v>34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</row>
    <row r="25" ht="12" customHeight="1" spans="1:19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</row>
    <row r="26" ht="12" customHeight="1" spans="1:19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</row>
    <row r="27" ht="12" customHeight="1" spans="1:19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</row>
    <row r="28" ht="12" customHeight="1" spans="1:19" x14ac:dyDescent="0.25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</row>
    <row r="29" ht="12" customHeight="1" spans="1:19" x14ac:dyDescent="0.25">
      <c r="A29" s="75" t="str">
        <f>+_xlfn.CONCAT("Para constancia de lo anterior se firma en XXX " &amp; TEXT(Liquidador!AA38, "dddd, d \d\e mmmm \d\e yyyy") &amp; ".")</f>
        <v>Para constancia de lo anterior se firma en XXX viernes, 13 de febrero de 2026.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</row>
    <row r="30" ht="12" customHeight="1" spans="1:19" x14ac:dyDescent="0.25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</row>
    <row r="31" ht="12" customHeight="1" spans="1:19" x14ac:dyDescent="0.25">
      <c r="A31" s="75" t="s">
        <v>35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</row>
    <row r="32" ht="12" customHeight="1" spans="1:19" x14ac:dyDescent="0.25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</row>
    <row r="33" ht="12" customHeight="1" spans="1:19" x14ac:dyDescent="0.25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</row>
    <row r="34" ht="12" customHeight="1" spans="1:19" x14ac:dyDescent="0.25">
      <c r="A34" s="85"/>
      <c r="B34" s="85"/>
      <c r="C34" s="85"/>
      <c r="D34" s="85"/>
      <c r="E34" s="85"/>
      <c r="F34" s="85"/>
      <c r="G34" s="85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</row>
    <row r="35" ht="12" customHeight="1" spans="1:19" x14ac:dyDescent="0.25">
      <c r="A35" s="79" t="str">
        <f>+_xlfn.CONCAT("Asegurado (a)"," ",V4)</f>
        <v>Asegurado (a) </v>
      </c>
      <c r="B35" s="79"/>
      <c r="C35" s="79"/>
      <c r="D35" s="79"/>
      <c r="E35" s="79"/>
      <c r="F35" s="75" t="str">
        <f>+G4</f>
        <v>DANIEL JOSE NARVAEZ DORIA </v>
      </c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</row>
    <row r="36" ht="12" customHeight="1" spans="1:19" x14ac:dyDescent="0.25">
      <c r="A36" s="79" t="s">
        <v>36</v>
      </c>
      <c r="B36" s="79"/>
      <c r="C36" s="79"/>
      <c r="D36" s="79"/>
      <c r="E36" s="79"/>
      <c r="F36" s="87">
        <f>+Liquidador!X11</f>
        <v>1063164401</v>
      </c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</row>
  </sheetData>
  <sheetProtection sheet="1" algorithmName="SHA-512" hashValue="DVXjLoW7VAEKN/y3l8UsRz/Jrdrf5Rg+311fO4QO7DoFHeNoulXJyiiOz9ShV8oEA68rNBxNLbU5H2H7s3hZFQ==" saltValue="hjxhCXfl+rgxKmYRj4HPBw==" spinCount="100000" objects="1" scenarios="1"/>
  <mergeCells count="33">
    <mergeCell ref="A1:S1"/>
    <mergeCell ref="A2:S2"/>
    <mergeCell ref="A3:F3"/>
    <mergeCell ref="G3:S3"/>
    <mergeCell ref="A4:F4"/>
    <mergeCell ref="G4:S4"/>
    <mergeCell ref="A5:F5"/>
    <mergeCell ref="G5:S5"/>
    <mergeCell ref="A6:F6"/>
    <mergeCell ref="G6:S6"/>
    <mergeCell ref="A7:F7"/>
    <mergeCell ref="G7:S7"/>
    <mergeCell ref="A8:F8"/>
    <mergeCell ref="G8:S8"/>
    <mergeCell ref="A9:F9"/>
    <mergeCell ref="G9:S9"/>
    <mergeCell ref="A10:S10"/>
    <mergeCell ref="A11:S13"/>
    <mergeCell ref="A14:S14"/>
    <mergeCell ref="A15:S17"/>
    <mergeCell ref="A18:S21"/>
    <mergeCell ref="A22:S23"/>
    <mergeCell ref="A24:S27"/>
    <mergeCell ref="A28:S28"/>
    <mergeCell ref="A29:S29"/>
    <mergeCell ref="A30:S30"/>
    <mergeCell ref="A31:S31"/>
    <mergeCell ref="A32:S32"/>
    <mergeCell ref="A33:S33"/>
    <mergeCell ref="A35:E35"/>
    <mergeCell ref="F35:S35"/>
    <mergeCell ref="A36:E36"/>
    <mergeCell ref="F36:S36"/>
  </mergeCells>
  <pageMargins left="0.7" right="0.7" top="0.43" bottom="0.34" header="0.3" footer="0.24"/>
  <pageSetup orientation="portrait" horizontalDpi="4294967295" verticalDpi="4294967295" scale="9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Liquidador</vt:lpstr>
      <vt:lpstr>PDF</vt:lpstr>
      <vt:lpstr>Bases</vt:lpstr>
      <vt:lpstr>CxW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HERNANDEZ RUIZ</dc:creator>
  <cp:lastModifiedBy>GRUPO PROSER</cp:lastModifiedBy>
  <cp:lastPrinted>2026-02-11T16:19:03Z</cp:lastPrinted>
  <dcterms:created xsi:type="dcterms:W3CDTF">2024-05-19T01:32:39Z</dcterms:created>
  <dcterms:modified xsi:type="dcterms:W3CDTF">2026-02-13T17:55:01Z</dcterms:modified>
</cp:coreProperties>
</file>