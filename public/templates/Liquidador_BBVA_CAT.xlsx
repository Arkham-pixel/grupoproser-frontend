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xr:revisionPtr revIDLastSave="0" documentId="8_{A8DE9DBE-B700-40E5-BF88-40665F2F4091}" xr6:coauthVersionLast="47" xr6:coauthVersionMax="47" xr10:uidLastSave="{00000000-0000-0000-0000-000000000000}"/>
  <bookViews>
    <workbookView xWindow="-38510" yWindow="-2470" windowWidth="38620" windowHeight="21100" activeTab="2" xr2:uid="{E65C91B5-2F3F-4714-B1B4-8B5AF7B02E46}"/>
  </bookViews>
  <sheets>
    <sheet name="Liquidador" sheetId="1" r:id="rId1"/>
    <sheet name="Liquidador Deudores" sheetId="2" r:id="rId2"/>
    <sheet name="Liquidador leasing" sheetId="3" r:id="rId3"/>
  </sheets>
  <externalReferences>
    <externalReference r:id="rId4"/>
  </externalReferences>
  <definedNames>
    <definedName name="_xlnm._FilterDatabase" localSheetId="0" hidden="1">Liquidador!$D$1:$O$38</definedName>
    <definedName name="_xlnm.Print_Area" localSheetId="0">Liquidador!$C$1:$O$38</definedName>
    <definedName name="_xlnm.Print_Area" localSheetId="1">'Liquidador Deudores'!$D$1:$O$40</definedName>
    <definedName name="_xlnm.Print_Area" localSheetId="2">'Liquidador leasing'!$C$1:$O$41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4" i="3" l="1"/>
  <c r="F24" i="3" s="1"/>
  <c r="G24" i="3" s="1"/>
  <c r="H24" i="3" s="1"/>
  <c r="I24" i="3" s="1"/>
  <c r="J24" i="3" s="1"/>
  <c r="K24" i="3" s="1"/>
  <c r="L24" i="3" s="1"/>
  <c r="M24" i="3" s="1"/>
  <c r="N24" i="3" s="1"/>
  <c r="O24" i="3" s="1"/>
  <c r="E23" i="3"/>
  <c r="F23" i="3" s="1"/>
  <c r="G23" i="3" s="1"/>
  <c r="H23" i="3" s="1"/>
  <c r="I23" i="3" s="1"/>
  <c r="J23" i="3" s="1"/>
  <c r="K23" i="3" s="1"/>
  <c r="L23" i="3" s="1"/>
  <c r="M23" i="3" s="1"/>
  <c r="N23" i="3" s="1"/>
  <c r="O23" i="3" s="1"/>
  <c r="E22" i="3"/>
  <c r="F22" i="3" s="1"/>
  <c r="G22" i="3" s="1"/>
  <c r="H22" i="3" s="1"/>
  <c r="I22" i="3" s="1"/>
  <c r="J22" i="3" s="1"/>
  <c r="K22" i="3" s="1"/>
  <c r="L22" i="3" s="1"/>
  <c r="M22" i="3" s="1"/>
  <c r="N22" i="3" s="1"/>
  <c r="O22" i="3" s="1"/>
  <c r="F21" i="3"/>
  <c r="G21" i="3" s="1"/>
  <c r="H21" i="3" s="1"/>
  <c r="I21" i="3" s="1"/>
  <c r="J21" i="3" s="1"/>
  <c r="K21" i="3" s="1"/>
  <c r="L21" i="3" s="1"/>
  <c r="M21" i="3" s="1"/>
  <c r="N21" i="3" s="1"/>
  <c r="O21" i="3" s="1"/>
  <c r="E21" i="3"/>
  <c r="E20" i="3"/>
  <c r="F20" i="3" s="1"/>
  <c r="G20" i="3" s="1"/>
  <c r="H20" i="3" s="1"/>
  <c r="I20" i="3" s="1"/>
  <c r="J20" i="3" s="1"/>
  <c r="K20" i="3" s="1"/>
  <c r="L20" i="3" s="1"/>
  <c r="M20" i="3" s="1"/>
  <c r="N20" i="3" s="1"/>
  <c r="O20" i="3" s="1"/>
  <c r="E19" i="3"/>
  <c r="F19" i="3" s="1"/>
  <c r="G19" i="3" s="1"/>
  <c r="H19" i="3" s="1"/>
  <c r="I19" i="3" s="1"/>
  <c r="J19" i="3" s="1"/>
  <c r="K19" i="3" s="1"/>
  <c r="L19" i="3" s="1"/>
  <c r="M19" i="3" s="1"/>
  <c r="N19" i="3" s="1"/>
  <c r="O19" i="3" s="1"/>
  <c r="M15" i="3"/>
  <c r="N15" i="3" s="1"/>
  <c r="H15" i="3"/>
  <c r="J15" i="3" s="1"/>
  <c r="L11" i="3"/>
  <c r="F9" i="3"/>
  <c r="O8" i="3"/>
  <c r="F8" i="3"/>
  <c r="L8" i="3" s="1"/>
  <c r="E24" i="2"/>
  <c r="F24" i="2" s="1"/>
  <c r="G24" i="2" s="1"/>
  <c r="H24" i="2" s="1"/>
  <c r="I24" i="2" s="1"/>
  <c r="J24" i="2" s="1"/>
  <c r="K24" i="2" s="1"/>
  <c r="L24" i="2" s="1"/>
  <c r="M24" i="2" s="1"/>
  <c r="N24" i="2" s="1"/>
  <c r="O24" i="2" s="1"/>
  <c r="E23" i="2"/>
  <c r="F23" i="2" s="1"/>
  <c r="G23" i="2" s="1"/>
  <c r="H23" i="2" s="1"/>
  <c r="I23" i="2" s="1"/>
  <c r="J23" i="2" s="1"/>
  <c r="K23" i="2" s="1"/>
  <c r="L23" i="2" s="1"/>
  <c r="M23" i="2" s="1"/>
  <c r="N23" i="2" s="1"/>
  <c r="O23" i="2" s="1"/>
  <c r="E22" i="2"/>
  <c r="F22" i="2" s="1"/>
  <c r="G22" i="2" s="1"/>
  <c r="H22" i="2" s="1"/>
  <c r="I22" i="2" s="1"/>
  <c r="J22" i="2" s="1"/>
  <c r="K22" i="2" s="1"/>
  <c r="L22" i="2" s="1"/>
  <c r="M22" i="2" s="1"/>
  <c r="N22" i="2" s="1"/>
  <c r="O22" i="2" s="1"/>
  <c r="E21" i="2"/>
  <c r="F21" i="2" s="1"/>
  <c r="G21" i="2" s="1"/>
  <c r="H21" i="2" s="1"/>
  <c r="I21" i="2" s="1"/>
  <c r="J21" i="2" s="1"/>
  <c r="K21" i="2" s="1"/>
  <c r="L21" i="2" s="1"/>
  <c r="M21" i="2" s="1"/>
  <c r="N21" i="2" s="1"/>
  <c r="O21" i="2" s="1"/>
  <c r="E20" i="2"/>
  <c r="F20" i="2" s="1"/>
  <c r="G20" i="2" s="1"/>
  <c r="H20" i="2" s="1"/>
  <c r="I20" i="2" s="1"/>
  <c r="J20" i="2" s="1"/>
  <c r="K20" i="2" s="1"/>
  <c r="L20" i="2" s="1"/>
  <c r="M20" i="2" s="1"/>
  <c r="N20" i="2" s="1"/>
  <c r="O20" i="2" s="1"/>
  <c r="E19" i="2"/>
  <c r="F19" i="2" s="1"/>
  <c r="G19" i="2" s="1"/>
  <c r="H19" i="2" s="1"/>
  <c r="I19" i="2" s="1"/>
  <c r="J19" i="2" s="1"/>
  <c r="K19" i="2" s="1"/>
  <c r="L19" i="2" s="1"/>
  <c r="M19" i="2" s="1"/>
  <c r="N19" i="2" s="1"/>
  <c r="O19" i="2" s="1"/>
  <c r="M15" i="2"/>
  <c r="N15" i="2" s="1"/>
  <c r="H15" i="2"/>
  <c r="J15" i="2" s="1"/>
  <c r="H11" i="2"/>
  <c r="M9" i="2"/>
  <c r="F9" i="2"/>
  <c r="O8" i="2"/>
  <c r="M8" i="2"/>
  <c r="F8" i="2"/>
  <c r="L8" i="2" s="1"/>
  <c r="I3" i="2"/>
  <c r="I51" i="1"/>
  <c r="I50" i="1"/>
  <c r="I49" i="1"/>
  <c r="I48" i="1"/>
  <c r="I47" i="1"/>
  <c r="K48" i="1" s="1"/>
  <c r="I46" i="1"/>
  <c r="I45" i="1"/>
  <c r="J47" i="1" s="1"/>
  <c r="I44" i="1"/>
  <c r="I43" i="1"/>
  <c r="F26" i="1"/>
  <c r="G26" i="1" s="1"/>
  <c r="H26" i="1" s="1"/>
  <c r="I26" i="1" s="1"/>
  <c r="J26" i="1" s="1"/>
  <c r="K26" i="1" s="1"/>
  <c r="L26" i="1" s="1"/>
  <c r="M26" i="1" s="1"/>
  <c r="N26" i="1" s="1"/>
  <c r="O26" i="1" s="1"/>
  <c r="H25" i="1"/>
  <c r="K19" i="1"/>
  <c r="M19" i="1" s="1"/>
  <c r="N19" i="1" s="1"/>
  <c r="H19" i="1"/>
  <c r="J19" i="1" s="1"/>
  <c r="N18" i="1"/>
  <c r="O18" i="1" s="1"/>
  <c r="M18" i="1"/>
  <c r="K18" i="1"/>
  <c r="H18" i="1"/>
  <c r="J18" i="1" s="1"/>
  <c r="R17" i="1"/>
  <c r="M17" i="1"/>
  <c r="N17" i="1" s="1"/>
  <c r="O17" i="1" s="1"/>
  <c r="K17" i="1"/>
  <c r="J17" i="1"/>
  <c r="H17" i="1"/>
  <c r="R16" i="1"/>
  <c r="N16" i="1"/>
  <c r="M16" i="1"/>
  <c r="K16" i="1"/>
  <c r="H16" i="1"/>
  <c r="J16" i="1" s="1"/>
  <c r="K15" i="1"/>
  <c r="N15" i="1" s="1"/>
  <c r="O15" i="1" s="1"/>
  <c r="J15" i="1"/>
  <c r="H15" i="1"/>
  <c r="L11" i="1"/>
  <c r="K11" i="1"/>
  <c r="F9" i="1"/>
  <c r="O8" i="1"/>
  <c r="N8" i="1"/>
  <c r="L8" i="1"/>
  <c r="H3" i="1"/>
  <c r="O15" i="3" l="1"/>
  <c r="O25" i="3" s="1"/>
  <c r="O15" i="2"/>
  <c r="O25" i="2" s="1"/>
  <c r="O27" i="1"/>
  <c r="O19" i="1"/>
  <c r="O16" i="1"/>
  <c r="M8" i="3" l="1"/>
  <c r="O26" i="3" s="1"/>
  <c r="O27" i="3" s="1"/>
  <c r="O26" i="2"/>
  <c r="O27" i="2" s="1"/>
  <c r="M8" i="1"/>
  <c r="O28" i="1"/>
  <c r="P32" i="1" s="1"/>
  <c r="P35" i="1" s="1"/>
  <c r="O29" i="1" l="1"/>
</calcChain>
</file>

<file path=xl/sharedStrings.xml><?xml version="1.0" encoding="utf-8"?>
<sst xmlns="http://schemas.openxmlformats.org/spreadsheetml/2006/main" count="231" uniqueCount="106">
  <si>
    <t>FORMATO LIQUIDACIÓN</t>
  </si>
  <si>
    <t>RAMOS</t>
  </si>
  <si>
    <t>EQUIPO ELÉCTRICO Y ELECTRÓNICO</t>
  </si>
  <si>
    <t/>
  </si>
  <si>
    <t xml:space="preserve">POLIZA NUMERO: </t>
  </si>
  <si>
    <t>SINIESTRO NUMERO</t>
  </si>
  <si>
    <t>ASEGURADO</t>
  </si>
  <si>
    <t>MAQUINARIA Y EQUIPO</t>
  </si>
  <si>
    <t xml:space="preserve">VIGENCIA DESDE: </t>
  </si>
  <si>
    <t>HWEB-2453</t>
  </si>
  <si>
    <t>JUAN PACHECO ECHEVERRY</t>
  </si>
  <si>
    <t>SUSTRACCIÓN</t>
  </si>
  <si>
    <t xml:space="preserve">VIGENCIA HASTA: </t>
  </si>
  <si>
    <t>RAMO AFECTADO</t>
  </si>
  <si>
    <t>DEDUCIBLE</t>
  </si>
  <si>
    <t>SMMLV</t>
  </si>
  <si>
    <t>PORCENTAJE</t>
  </si>
  <si>
    <t>DÓLARES</t>
  </si>
  <si>
    <t>PESOS /OTRO</t>
  </si>
  <si>
    <t>INCENDIO</t>
  </si>
  <si>
    <t xml:space="preserve">FECHA SINIESTRO: </t>
  </si>
  <si>
    <t>TERREMOTO</t>
  </si>
  <si>
    <t>AÑO DEL SINIESTRO</t>
  </si>
  <si>
    <t>CAUSA</t>
  </si>
  <si>
    <t>AMIT</t>
  </si>
  <si>
    <t>DÍAS TRANSCUR. COBERTURA</t>
  </si>
  <si>
    <t>SOBRE VOLTAJE</t>
  </si>
  <si>
    <t>TRM DÍA DEL SINIESTRO</t>
  </si>
  <si>
    <t>ROTURA DE MAQUINARIA</t>
  </si>
  <si>
    <t>RCE</t>
  </si>
  <si>
    <t>VALOR LIMITE ASEGURADO</t>
  </si>
  <si>
    <t>MANEJO GLOBAL COMERCIAL</t>
  </si>
  <si>
    <t>DETALLE DE LA LIQUIDACIÓN</t>
  </si>
  <si>
    <t>TRANSPORTES</t>
  </si>
  <si>
    <t>Ítem Nro.</t>
  </si>
  <si>
    <t>Descripción del Bien</t>
  </si>
  <si>
    <t>Valor Asegurado</t>
  </si>
  <si>
    <t>Porcentaje de Índice Variable</t>
  </si>
  <si>
    <t>Valor Asegurado Fecha S/tro</t>
  </si>
  <si>
    <t>Valor Asegurable</t>
  </si>
  <si>
    <t>Porcentaje de Responsabilidad de la CIA</t>
  </si>
  <si>
    <t>Valor de la pérdida</t>
  </si>
  <si>
    <t>Demérito</t>
  </si>
  <si>
    <t>Valor real del bien</t>
  </si>
  <si>
    <t>Pérdida Base</t>
  </si>
  <si>
    <t>Pérdida Indemnizable</t>
  </si>
  <si>
    <t>Lavadora</t>
  </si>
  <si>
    <t>Valor Global</t>
  </si>
  <si>
    <t>Calentador</t>
  </si>
  <si>
    <t>ANALISTAS</t>
  </si>
  <si>
    <t>Televisor</t>
  </si>
  <si>
    <t>Adriana Ramirez</t>
  </si>
  <si>
    <t>Nevera</t>
  </si>
  <si>
    <t>Marisol Jimenez</t>
  </si>
  <si>
    <t>Aire Acondicionado</t>
  </si>
  <si>
    <t>Luis Antonio Vanegas</t>
  </si>
  <si>
    <t>Luis Carlos Rodriguez</t>
  </si>
  <si>
    <t>Danilo Oviedo</t>
  </si>
  <si>
    <t>Año</t>
  </si>
  <si>
    <t xml:space="preserve"> </t>
  </si>
  <si>
    <t>Sub Total</t>
  </si>
  <si>
    <t>Liquidado por: Herbert Andres Bautista Novoa</t>
  </si>
  <si>
    <t>Deducible Aplicable</t>
  </si>
  <si>
    <t>Valor a Indemnizar</t>
  </si>
  <si>
    <t>Indemnizaciones Seguros Generales</t>
  </si>
  <si>
    <t>OBSERVACIONES: FAST SERVICE</t>
  </si>
  <si>
    <t>Una vez realizado el pago anteriormente solicitado declaramos a BBVA SEGUROS COLOMBIA S.A., a paz y salvo para con nosotros en todo lo relacionado con el mencionado siniestro y por lo tanto cedemos a favor de BBVA SEGUROS COLOMBIA S.A. , todos los derechos y acciones que nos corresponda contra los terceros responsables del siniestro y sobre los cuales certificamos no haber cedido ni renunciado a los mismos. Además nos comprometemos a no dirigir ninguna acción o gestión que obstaculice en cualquier forma el ejercicio de los derechos y acciones que competen al BBVA SEGUROS COLOMBIA S.A. Todo lo anterior de conformidad con los artículos 1096 y 1097 del Código de Comercio</t>
  </si>
  <si>
    <t xml:space="preserve">                                              ACEPTO INDEMNIZACIÓN                           NO ACEPTO INDEMNZIACIÓN </t>
  </si>
  <si>
    <r>
      <t xml:space="preserve">En aceptación de lo anterior, firmamos el presente documento en la ciudad de ________________________, a los ________________ dias del mes de ____________________ de ____________. </t>
    </r>
    <r>
      <rPr>
        <b/>
        <u/>
        <sz val="10"/>
        <rFont val="Arial"/>
        <family val="2"/>
      </rPr>
      <t>Por último autorizamos para que se sirvan consignar o efectuar transferencia a nuestra cuenta de</t>
    </r>
    <r>
      <rPr>
        <sz val="10"/>
        <rFont val="Arial"/>
        <family val="2"/>
      </rPr>
      <t xml:space="preserve">   </t>
    </r>
    <r>
      <rPr>
        <b/>
        <sz val="10"/>
        <rFont val="Arial"/>
        <family val="2"/>
      </rPr>
      <t>AHORROS(    ) CORRIENTE (   ) No.__</t>
    </r>
    <r>
      <rPr>
        <sz val="10"/>
        <rFont val="Arial"/>
        <family val="2"/>
      </rPr>
      <t>________________________</t>
    </r>
    <r>
      <rPr>
        <b/>
        <sz val="10"/>
        <rFont val="Arial"/>
        <family val="2"/>
      </rPr>
      <t>del Banco</t>
    </r>
    <r>
      <rPr>
        <sz val="10"/>
        <rFont val="Arial"/>
        <family val="2"/>
      </rPr>
      <t xml:space="preserve"> __________________</t>
    </r>
    <r>
      <rPr>
        <b/>
        <sz val="10"/>
        <rFont val="Arial"/>
        <family val="2"/>
      </rPr>
      <t>Sucursal</t>
    </r>
    <r>
      <rPr>
        <sz val="10"/>
        <rFont val="Arial"/>
        <family val="2"/>
      </rPr>
      <t xml:space="preserve">________________________ </t>
    </r>
  </si>
  <si>
    <r>
      <t xml:space="preserve">En aceptación de lo anterior, firmamos el presente documento en la ciudad de ________________________, a los ________________ dias del mes de ____________________ de ____________. </t>
    </r>
    <r>
      <rPr>
        <b/>
        <u/>
        <sz val="8"/>
        <rFont val="Arial"/>
        <family val="2"/>
      </rPr>
      <t xml:space="preserve">Por último autorizamos para que se sirvan Transferir por medio de interoficina al BBVA Banco </t>
    </r>
  </si>
  <si>
    <t xml:space="preserve">AÑO </t>
  </si>
  <si>
    <t xml:space="preserve">MENSUAL </t>
  </si>
  <si>
    <t>TRANSP</t>
  </si>
  <si>
    <t xml:space="preserve">DIARIO </t>
  </si>
  <si>
    <t>Salario mínimo 2024</t>
  </si>
  <si>
    <t>Salario mínimo 2025</t>
  </si>
  <si>
    <t>Salario mínimo 2022</t>
  </si>
  <si>
    <t>Salario mínimo 2021</t>
  </si>
  <si>
    <t>Salario mínimo 2020</t>
  </si>
  <si>
    <r>
      <t>Salario mínimo</t>
    </r>
    <r>
      <rPr>
        <sz val="11"/>
        <color rgb="FF222222"/>
        <rFont val="Arial"/>
        <family val="2"/>
      </rPr>
      <t> 2019</t>
    </r>
  </si>
  <si>
    <t xml:space="preserve">7. LÍMITE MÁXIMO DE LA INDEMNIZACIÓN </t>
  </si>
  <si>
    <r>
      <t>Salario mínimo</t>
    </r>
    <r>
      <rPr>
        <sz val="11"/>
        <color rgb="FF222222"/>
        <rFont val="Arial"/>
        <family val="2"/>
      </rPr>
      <t> 2018</t>
    </r>
  </si>
  <si>
    <t>2. Si no se declara el valor de las mercancías al transportador o se le declara un mayor valor al indicado en el inciso 3. Del artículo 1010 del código de comercio, el límite máximo de responsabilidad de La Compañía será el ochenta por ciento (80%) del valor de la mercancía en su lugar de destino, caso en el cual no habrá lugar o reconocimiento al asegurado del lucro cesante previsto en esta sección.</t>
  </si>
  <si>
    <r>
      <t>Salario mínimo</t>
    </r>
    <r>
      <rPr>
        <sz val="11"/>
        <color rgb="FF222222"/>
        <rFont val="Arial"/>
        <family val="2"/>
      </rPr>
      <t> 2017</t>
    </r>
  </si>
  <si>
    <r>
      <t>Salario mínimo</t>
    </r>
    <r>
      <rPr>
        <sz val="11"/>
        <color rgb="FF222222"/>
        <rFont val="Arial"/>
        <family val="2"/>
      </rPr>
      <t> 2016</t>
    </r>
  </si>
  <si>
    <t>LIQUIDACIÓN DE INDEMNIZACION</t>
  </si>
  <si>
    <t>HDBA-666</t>
  </si>
  <si>
    <t xml:space="preserve">YENNY PAOLA ROMERO SANCHEZ - BBVA </t>
  </si>
  <si>
    <t>EVENTO RECLAMADO</t>
  </si>
  <si>
    <t>DAÑOS POR AGUA</t>
  </si>
  <si>
    <t>ARREGLO PISO DE MADERA</t>
  </si>
  <si>
    <t>Leidy Johanna Neira</t>
  </si>
  <si>
    <t>Liquidado por:</t>
  </si>
  <si>
    <r>
      <t>Deducibles</t>
    </r>
    <r>
      <rPr>
        <sz val="8"/>
        <rFont val="Arial"/>
        <family val="2"/>
      </rPr>
      <t xml:space="preserve">: Es importante que tengas en cuenta que para los amparos de terremoto, temblor o erupción volcánica, maremoto o tsunami y eventos
                                  catastró icos de la naturaleza aplica un deducible del </t>
    </r>
    <r>
      <rPr>
        <b/>
        <sz val="8"/>
        <rFont val="Arial"/>
        <family val="2"/>
      </rPr>
      <t>2% del valor asegurable sin ser inferior a 3 SMMLV</t>
    </r>
    <r>
      <rPr>
        <sz val="8"/>
        <rFont val="Arial"/>
        <family val="2"/>
      </rPr>
      <t xml:space="preserve">.
</t>
    </r>
    <r>
      <rPr>
        <b/>
        <sz val="8"/>
        <rFont val="Arial"/>
        <family val="2"/>
      </rPr>
      <t>Objeto de la póliza.</t>
    </r>
    <r>
      <rPr>
        <sz val="8"/>
        <rFont val="Arial"/>
        <family val="2"/>
      </rPr>
      <t xml:space="preserve">
El Seguro tiene por objeto amparar todos los bienes inmuebles dados en garantía como respaldo a la Cartera de Crédito del BBVA Colombia y a la Cartera de Terceros administrada por BBVA Colombia, contra los riesgos de incendio y peligros aliados, incluyendo terremoto, AMIT y los relacionados en el literal “amparos”; adquiriendo el banco en todos los casos la calidad de tomador y </t>
    </r>
    <r>
      <rPr>
        <b/>
        <sz val="8"/>
        <rFont val="Arial"/>
        <family val="2"/>
      </rPr>
      <t xml:space="preserve">primer bene iciario a título oneroso, quedando con la facultad para ceder y endosar sus derechos
</t>
    </r>
  </si>
  <si>
    <r>
      <t xml:space="preserve">Una vez realizado el pago anteriormente solicitado declaramos a BBVA SEGUROS COLOMBIA S.A., a paz y salvo para con nosotros en todo lo relacionado con el mencionado siniestro y por lo tanto cedemos a favor de BBVA SEGUROS COLOMBIA S.A. , todos los derechos y acciones que nos corresponda contra los terceros responsables del siniestro y sobre los cuales certificamos no haber cedido ni renunciado a los mismos. Además nos comprometemos a no dirigir ninguna acción o gestión que obstaculice en cualquier forma el ejercicio de los derechos y acciones que competen al BBVA SEGUROS COLOMBIA S.A. Todo lo anterior de conformidad con los artículos 1096 y 1097 del Código de Comercio
En aceptación de lo anterior, firmamos el presente documento en la ciudad de ________________________, a los ________________ dias del mes de ____________________ de ____________. 
</t>
    </r>
    <r>
      <rPr>
        <b/>
        <sz val="8"/>
        <rFont val="Arial"/>
        <family val="2"/>
      </rPr>
      <t xml:space="preserve">TENIENDO EN CUENTA QUE EL ÚNICO BENEFICIARIO EN LA PÓLIZA ES BANCO BBVA COLOMBIA S.A, AUTORIZO CONSIGNAR A LA CUENTA DE BBVA COLOMBIA S.A NIT 860.003.020-1, EL VALOR DE LA INDEMNIZACIÓN AL CRÉDITO HIPOTECARIO </t>
    </r>
  </si>
  <si>
    <t xml:space="preserve">OBSERVACIONES: </t>
  </si>
  <si>
    <t>_________________________________________________________________________________________________________________________________________________________________________________________</t>
  </si>
  <si>
    <t>BBVA COLOMBIA - LEASING - OFICOMCO S.A.</t>
  </si>
  <si>
    <t>ANEGACIÓN</t>
  </si>
  <si>
    <t>HURTO PORTATIL LENOVO</t>
  </si>
  <si>
    <t xml:space="preserve">FUNCIONARIO </t>
  </si>
  <si>
    <t>DANILO CLEMENTE BUSTAMANTE HERRERA</t>
  </si>
  <si>
    <t>Adriana Ramírez</t>
  </si>
  <si>
    <r>
      <t>Deducibles</t>
    </r>
    <r>
      <rPr>
        <sz val="8"/>
        <rFont val="Tahoma"/>
        <family val="2"/>
      </rPr>
      <t xml:space="preserve">: Es importante que tengas en cuenta que para los amparos de terremoto, temblor o erupción volcánica, maremoto o tsunami y eventos
                                  catastró icos de la naturaleza aplica un deducible del </t>
    </r>
    <r>
      <rPr>
        <b/>
        <sz val="8"/>
        <rFont val="Tahoma"/>
        <family val="2"/>
      </rPr>
      <t>2% del valor asegurable sin ser inferior a 3 SMMLV</t>
    </r>
    <r>
      <rPr>
        <sz val="8"/>
        <rFont val="Tahoma"/>
        <family val="2"/>
      </rPr>
      <t xml:space="preserve">.
</t>
    </r>
    <r>
      <rPr>
        <b/>
        <sz val="8"/>
        <rFont val="Tahoma"/>
        <family val="2"/>
      </rPr>
      <t>Objeto de la póliza.</t>
    </r>
    <r>
      <rPr>
        <sz val="8"/>
        <rFont val="Tahoma"/>
        <family val="2"/>
      </rPr>
      <t xml:space="preserve">
El Seguro tiene por objeto amparar todos los bienes inmuebles dados en garantía como respaldo a la Cartera de Crédito del BBVA Colombia y a la Cartera de Terceros administrada por BBVA Colombia, contra los riesgos de incendio y peligros aliados, incluyendo terremoto, AMIT y los relacionados en el literal “amparos”; adquiriendo el banco en todos los casos la calidad de tomador y </t>
    </r>
    <r>
      <rPr>
        <b/>
        <sz val="8"/>
        <rFont val="Tahoma"/>
        <family val="2"/>
      </rPr>
      <t xml:space="preserve">primer bene iciario a título oneroso, quedando con la facultad para ceder y endosar sus derechos
</t>
    </r>
  </si>
  <si>
    <r>
      <t xml:space="preserve">Una vez realizado el pago anteriormente solicitado declaramos a BBVA SEGUROS COLOMBIA S.A., a paz y salvo para con nosotros en todo lo relacionado con el mencionado siniestro y por lo tanto cedemos a favor de BBVA SEGUROS COLOMBIA S.A. , todos los derechos y acciones que nos corresponda contra los terceros responsables del siniestro y sobre los cuales certificamos no haber cedido ni renunciado a los mismos. Además nos comprometemos a no dirigir ninguna acción o gestión que obstaculice en cualquier forma el ejercicio de los derechos y acciones que competen al BBVA SEGUROS COLOMBIA S.A. Todo lo anterior de conformidad con los artículos 1096 y 1097 del Código de Comercio
En aceptación de lo anterior, firmamos el presente documento en la ciudad de ________________________, a los ________________ dias del mes de ____________________ de ____________. 
</t>
    </r>
    <r>
      <rPr>
        <b/>
        <sz val="8"/>
        <rFont val="Tahoma"/>
        <family val="2"/>
      </rPr>
      <t>TENIENDO EN CUENTA QUE EL ÚNICO BENEFICIARIO EN LA PÓLIZA ES BANCO BBVA COLOMBIA S.A, AUTORIZO CONSIGNAR A LA CUENTA DE BBVA COLOMBIA S.A NIT 860.003.020-1, EL VALOR DE LA INDEMNIZACIÓN A LEASING BBVA</t>
    </r>
  </si>
  <si>
    <r>
      <t>OBSERVACIONES:_</t>
    </r>
    <r>
      <rPr>
        <sz val="8"/>
        <rFont val="Tahoma"/>
        <family val="2"/>
      </rPr>
      <t>PARA EL RECONOCIMIENTO DEL IVA ESTE DEBE SER SOPORTADO CON FACTURA DEBIDAMENTE CANCELADA.</t>
    </r>
    <r>
      <rPr>
        <b/>
        <sz val="8"/>
        <rFont val="Tahoma"/>
        <family val="2"/>
      </rPr>
      <t>___________________________________________________________________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</si>
</sst>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quot;\ #,##0;[Red]\-&quot;$&quot;\ #,##0"/>
    <numFmt numFmtId="8" formatCode="&quot;$&quot;\ #,##0.00;[Red]\-&quot;$&quot;\ #,##0.00"/>
    <numFmt numFmtId="42" formatCode="_-&quot;$&quot;\ * #,##0_-;\-&quot;$&quot;\ * #,##0_-;_-&quot;$&quot;\ * &quot;-&quot;_-;_-@_-"/>
    <numFmt numFmtId="41" formatCode="_-* #,##0_-;\-* #,##0_-;_-* &quot;-&quot;_-;_-@_-"/>
    <numFmt numFmtId="43" formatCode="_-* #,##0.00_-;\-* #,##0.00_-;_-* &quot;-&quot;??_-;_-@_-"/>
    <numFmt numFmtId="164" formatCode="[$-F800]dddd\,\ mmmm\ dd\,\ yyyy"/>
    <numFmt numFmtId="165" formatCode="[$-240A]d&quot; de &quot;mmmm&quot; de &quot;yyyy;@"/>
    <numFmt numFmtId="166" formatCode="[$USD]\ #,##0.00"/>
    <numFmt numFmtId="167" formatCode="&quot;$&quot;\ #,##0"/>
    <numFmt numFmtId="168" formatCode="_(* #,##0.00_);_(* \(#,##0.00\);_(* &quot;-&quot;??_);_(@_)"/>
    <numFmt numFmtId="169" formatCode="_(* #,##0_);_(* \(#,##0\);_(* &quot;-&quot;_);_(@_)"/>
    <numFmt numFmtId="170" formatCode="_(&quot;C$&quot;* #,##0.00_);_(&quot;C$&quot;* \(#,##0.00\);_(&quot;C$&quot;* &quot;-&quot;??_);_(@_)"/>
    <numFmt numFmtId="171" formatCode="_(&quot;$&quot;\ * #,##0_);_(&quot;$&quot;\ * \(#,##0\);_(&quot;$&quot;\ * &quot;-&quot;??_);_(@_)"/>
    <numFmt numFmtId="172" formatCode="&quot;$&quot;\ #,##0_);\(&quot;$&quot;\ #,##0\)"/>
    <numFmt numFmtId="173" formatCode="&quot;$&quot;\ #,##0.00_);\(&quot;$&quot;\ #,##0.00\)"/>
    <numFmt numFmtId="174" formatCode="_(* #,##0_);_(* \(#,##0\);_(* &quot;-&quot;??_);_(@_)"/>
    <numFmt numFmtId="176" formatCode="0.0%"/>
    <numFmt numFmtId="177" formatCode="_(&quot;$&quot;\ * #,##0.00_);_(&quot;$&quot;\ * \(#,##0.00\);_(&quot;$&quot;\ * &quot;-&quot;??_);_(@_)"/>
    <numFmt numFmtId="178" formatCode="_(&quot;C$&quot;* #,##0_);_(&quot;C$&quot;* \(#,##0\);_(&quot;C$&quot;* &quot;-&quot;??_);_(@_)"/>
    <numFmt numFmtId="179" formatCode="&quot;$&quot;\ #,##0.00"/>
  </numFmts>
  <fonts count="36" x14ac:knownFonts="1">
    <font>
      <sz val="10"/>
      <name val="Arial"/>
    </font>
    <font>
      <sz val="11"/>
      <color theme="1"/>
      <name val="Calibri"/>
      <family val="2"/>
      <scheme val="minor"/>
    </font>
    <font>
      <sz val="10"/>
      <name val="Arial"/>
      <family val="2"/>
    </font>
    <font>
      <sz val="8"/>
      <name val="Century Gothic"/>
      <family val="2"/>
    </font>
    <font>
      <b/>
      <sz val="8"/>
      <name val="Century Gothic"/>
      <family val="2"/>
    </font>
    <font>
      <sz val="8"/>
      <color theme="1"/>
      <name val="Century Gothic"/>
      <family val="2"/>
    </font>
    <font>
      <sz val="9"/>
      <color rgb="FF444444"/>
      <name val="Arial"/>
      <family val="2"/>
    </font>
    <font>
      <sz val="10"/>
      <name val="Century Gothic"/>
      <family val="2"/>
    </font>
    <font>
      <sz val="8"/>
      <color rgb="FF124277"/>
      <name val="Arial"/>
      <family val="2"/>
    </font>
    <font>
      <b/>
      <i/>
      <sz val="8"/>
      <name val="Century Gothic"/>
      <family val="2"/>
    </font>
    <font>
      <sz val="7.5"/>
      <name val="Century Gothic"/>
      <family val="2"/>
    </font>
    <font>
      <sz val="12"/>
      <color rgb="FF333F50"/>
      <name val="Calibri"/>
      <family val="2"/>
    </font>
    <font>
      <i/>
      <sz val="8"/>
      <name val="Century Gothic"/>
      <family val="2"/>
    </font>
    <font>
      <sz val="8"/>
      <color theme="0"/>
      <name val="Century Gothic"/>
      <family val="2"/>
    </font>
    <font>
      <b/>
      <sz val="10"/>
      <name val="Century Gothic"/>
      <family val="2"/>
    </font>
    <font>
      <sz val="8"/>
      <color rgb="FFFF0000"/>
      <name val="Century Gothic"/>
      <family val="2"/>
    </font>
    <font>
      <sz val="8"/>
      <name val="Arial"/>
      <family val="2"/>
    </font>
    <font>
      <b/>
      <u/>
      <sz val="10"/>
      <name val="Arial"/>
      <family val="2"/>
    </font>
    <font>
      <b/>
      <sz val="10"/>
      <name val="Arial"/>
      <family val="2"/>
    </font>
    <font>
      <b/>
      <u/>
      <sz val="8"/>
      <name val="Arial"/>
      <family val="2"/>
    </font>
    <font>
      <b/>
      <sz val="11"/>
      <color rgb="FF000000"/>
      <name val="Arial"/>
      <family val="2"/>
    </font>
    <font>
      <sz val="11"/>
      <color rgb="FF222222"/>
      <name val="Arial"/>
      <family val="2"/>
    </font>
    <font>
      <b/>
      <sz val="11"/>
      <color rgb="FF222222"/>
      <name val="Arial"/>
      <family val="2"/>
    </font>
    <font>
      <sz val="7.5"/>
      <name val="Arial"/>
      <family val="2"/>
    </font>
    <font>
      <sz val="7.5"/>
      <name val="Cambria"/>
      <family val="1"/>
      <scheme val="major"/>
    </font>
    <font>
      <b/>
      <sz val="7.5"/>
      <name val="Century Gothic"/>
      <family val="2"/>
    </font>
    <font>
      <b/>
      <sz val="7.5"/>
      <name val="Cambria"/>
      <family val="1"/>
      <scheme val="major"/>
    </font>
    <font>
      <b/>
      <sz val="7.5"/>
      <name val="Arial"/>
      <family val="2"/>
    </font>
    <font>
      <sz val="7.5"/>
      <color theme="1"/>
      <name val="Century Gothic"/>
      <family val="2"/>
    </font>
    <font>
      <b/>
      <sz val="7.5"/>
      <color theme="0"/>
      <name val="Arial"/>
      <family val="2"/>
    </font>
    <font>
      <b/>
      <sz val="8"/>
      <name val="Arial"/>
      <family val="2"/>
    </font>
    <font>
      <sz val="8"/>
      <name val="Tahoma"/>
      <family val="2"/>
    </font>
    <font>
      <b/>
      <sz val="8"/>
      <name val="Tahoma"/>
      <family val="2"/>
    </font>
    <font>
      <b/>
      <i/>
      <sz val="8"/>
      <name val="Tahoma"/>
      <family val="2"/>
    </font>
    <font>
      <b/>
      <sz val="8"/>
      <color theme="0"/>
      <name val="Tahoma"/>
      <family val="2"/>
    </font>
    <font>
      <i/>
      <sz val="8"/>
      <name val="Tahoma"/>
      <family val="2"/>
    </font>
  </fonts>
  <fills count="8">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5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auto="1"/>
      </right>
      <top/>
      <bottom style="thin">
        <color auto="1"/>
      </bottom>
      <diagonal/>
    </border>
    <border>
      <left style="thin">
        <color indexed="64"/>
      </left>
      <right style="medium">
        <color indexed="64"/>
      </right>
      <top/>
      <bottom style="thin">
        <color indexed="64"/>
      </bottom>
      <diagonal/>
    </border>
    <border>
      <left/>
      <right/>
      <top/>
      <bottom style="thin">
        <color theme="8" tint="0.39997558519241921"/>
      </bottom>
      <diagonal/>
    </border>
    <border>
      <left style="thin">
        <color indexed="64"/>
      </left>
      <right style="thin">
        <color indexed="64"/>
      </right>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0">
    <xf numFmtId="0" fontId="0" fillId="0" borderId="0"/>
    <xf numFmtId="168" fontId="2"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xf numFmtId="0" fontId="1" fillId="2" borderId="0" applyNumberFormat="0" applyBorder="0" applyAlignment="0" applyProtection="0"/>
    <xf numFmtId="0" fontId="2" fillId="0" borderId="0"/>
    <xf numFmtId="169" fontId="2" fillId="0" borderId="0" applyFont="0" applyFill="0" applyBorder="0" applyAlignment="0" applyProtection="0"/>
    <xf numFmtId="170" fontId="2" fillId="0" borderId="0" applyFont="0" applyFill="0" applyBorder="0" applyAlignment="0" applyProtection="0"/>
    <xf numFmtId="0" fontId="1" fillId="2" borderId="0" applyNumberFormat="0" applyBorder="0" applyAlignment="0" applyProtection="0"/>
    <xf numFmtId="42" fontId="2" fillId="0" borderId="0" applyFont="0" applyFill="0" applyBorder="0" applyAlignment="0" applyProtection="0"/>
  </cellStyleXfs>
  <cellXfs count="450">
    <xf numFmtId="0" fontId="0" fillId="0" borderId="0" xfId="0"/>
    <xf numFmtId="0" fontId="3" fillId="0" borderId="0" xfId="5" applyFont="1" applyProtection="1">
      <protection locked="0"/>
    </xf>
    <xf numFmtId="0" fontId="4" fillId="0" borderId="0" xfId="5" applyFont="1" applyAlignment="1" applyProtection="1">
      <alignment vertical="center"/>
      <protection locked="0"/>
    </xf>
    <xf numFmtId="0" fontId="4" fillId="0" borderId="1" xfId="5" applyFont="1" applyBorder="1" applyAlignment="1" applyProtection="1">
      <alignment horizontal="center" vertical="center"/>
      <protection locked="0"/>
    </xf>
    <xf numFmtId="0" fontId="4" fillId="0" borderId="2" xfId="5" applyFont="1" applyBorder="1" applyAlignment="1" applyProtection="1">
      <alignment horizontal="center" vertical="center"/>
      <protection locked="0"/>
    </xf>
    <xf numFmtId="0" fontId="4" fillId="0" borderId="3" xfId="5" applyFont="1" applyBorder="1" applyAlignment="1" applyProtection="1">
      <alignment horizontal="center" vertical="center"/>
      <protection locked="0"/>
    </xf>
    <xf numFmtId="0" fontId="4" fillId="0" borderId="0" xfId="5" quotePrefix="1" applyFont="1" applyAlignment="1" applyProtection="1">
      <alignment vertical="center"/>
      <protection locked="0"/>
    </xf>
    <xf numFmtId="0" fontId="4" fillId="0" borderId="0" xfId="5" applyFont="1" applyProtection="1">
      <protection locked="0"/>
    </xf>
    <xf numFmtId="0" fontId="3" fillId="0" borderId="0" xfId="5" applyFont="1" applyAlignment="1" applyProtection="1">
      <alignment vertical="center"/>
      <protection locked="0"/>
    </xf>
    <xf numFmtId="164" fontId="4" fillId="0" borderId="4" xfId="5" applyNumberFormat="1" applyFont="1" applyBorder="1" applyAlignment="1" applyProtection="1">
      <alignment horizontal="center" vertical="center"/>
      <protection locked="0"/>
    </xf>
    <xf numFmtId="0" fontId="3" fillId="0" borderId="0" xfId="5" quotePrefix="1" applyFont="1" applyProtection="1">
      <protection locked="0"/>
    </xf>
    <xf numFmtId="0" fontId="3" fillId="0" borderId="5" xfId="5" applyFont="1" applyBorder="1" applyAlignment="1" applyProtection="1">
      <alignment horizontal="left"/>
      <protection locked="0"/>
    </xf>
    <xf numFmtId="0" fontId="3" fillId="0" borderId="6" xfId="5" applyFont="1" applyBorder="1" applyAlignment="1" applyProtection="1">
      <alignment horizontal="left"/>
      <protection locked="0"/>
    </xf>
    <xf numFmtId="0" fontId="5" fillId="3" borderId="6" xfId="4" quotePrefix="1" applyFont="1" applyFill="1" applyBorder="1" applyAlignment="1" applyProtection="1">
      <alignment horizontal="center" vertical="center" wrapText="1"/>
      <protection locked="0"/>
    </xf>
    <xf numFmtId="0" fontId="3" fillId="0" borderId="6" xfId="5" applyFont="1" applyBorder="1" applyAlignment="1" applyProtection="1">
      <alignment horizontal="center" vertical="center"/>
      <protection locked="0"/>
    </xf>
    <xf numFmtId="0" fontId="3" fillId="0" borderId="7" xfId="5" applyFont="1" applyBorder="1" applyAlignment="1" applyProtection="1">
      <alignment horizontal="center" vertical="center"/>
      <protection locked="0"/>
    </xf>
    <xf numFmtId="0" fontId="3" fillId="0" borderId="8" xfId="5" applyFont="1" applyBorder="1" applyAlignment="1" applyProtection="1">
      <alignment horizontal="center" vertical="center"/>
      <protection locked="0"/>
    </xf>
    <xf numFmtId="0" fontId="3" fillId="0" borderId="5" xfId="5" applyFont="1" applyBorder="1" applyAlignment="1" applyProtection="1">
      <alignment horizontal="center"/>
      <protection locked="0"/>
    </xf>
    <xf numFmtId="0" fontId="3" fillId="0" borderId="9" xfId="5" applyFont="1" applyBorder="1" applyAlignment="1" applyProtection="1">
      <alignment horizontal="center"/>
      <protection locked="0"/>
    </xf>
    <xf numFmtId="0" fontId="3" fillId="0" borderId="10" xfId="5" applyFont="1" applyBorder="1" applyAlignment="1" applyProtection="1">
      <alignment horizontal="center"/>
      <protection locked="0"/>
    </xf>
    <xf numFmtId="0" fontId="3" fillId="0" borderId="0" xfId="5" applyFont="1" applyAlignment="1" applyProtection="1">
      <alignment horizontal="center"/>
      <protection locked="0"/>
    </xf>
    <xf numFmtId="0" fontId="3" fillId="0" borderId="0" xfId="5" quotePrefix="1" applyFont="1" applyAlignment="1" applyProtection="1">
      <alignment vertical="center"/>
      <protection locked="0"/>
    </xf>
    <xf numFmtId="0" fontId="3" fillId="0" borderId="11" xfId="5" applyFont="1" applyBorder="1" applyAlignment="1" applyProtection="1">
      <alignment horizontal="left" vertical="center"/>
      <protection locked="0"/>
    </xf>
    <xf numFmtId="0" fontId="3" fillId="0" borderId="12" xfId="5" applyFont="1" applyBorder="1" applyAlignment="1" applyProtection="1">
      <alignment horizontal="left" vertical="center"/>
      <protection locked="0"/>
    </xf>
    <xf numFmtId="165" fontId="5" fillId="3" borderId="13" xfId="4" applyNumberFormat="1" applyFont="1" applyFill="1" applyBorder="1" applyAlignment="1" applyProtection="1">
      <protection locked="0"/>
    </xf>
    <xf numFmtId="0" fontId="3" fillId="3" borderId="13" xfId="5" quotePrefix="1" applyFont="1" applyFill="1" applyBorder="1" applyAlignment="1" applyProtection="1">
      <alignment horizontal="center" vertical="center"/>
      <protection locked="0"/>
    </xf>
    <xf numFmtId="0" fontId="3" fillId="3" borderId="14" xfId="5" quotePrefix="1" applyFont="1" applyFill="1" applyBorder="1" applyAlignment="1" applyProtection="1">
      <alignment horizontal="center" vertical="center"/>
      <protection locked="0"/>
    </xf>
    <xf numFmtId="0" fontId="3" fillId="3" borderId="15" xfId="5" quotePrefix="1" applyFont="1" applyFill="1" applyBorder="1" applyAlignment="1" applyProtection="1">
      <alignment horizontal="center" vertical="center"/>
      <protection locked="0"/>
    </xf>
    <xf numFmtId="0" fontId="3" fillId="3" borderId="16" xfId="5" quotePrefix="1" applyFont="1" applyFill="1" applyBorder="1" applyAlignment="1" applyProtection="1">
      <alignment horizontal="center" vertical="center"/>
      <protection locked="0"/>
    </xf>
    <xf numFmtId="0" fontId="2" fillId="0" borderId="0" xfId="0" applyFont="1"/>
    <xf numFmtId="0" fontId="3" fillId="0" borderId="13" xfId="5" applyFont="1" applyBorder="1" applyAlignment="1" applyProtection="1">
      <alignment horizontal="center" vertical="center"/>
      <protection locked="0"/>
    </xf>
    <xf numFmtId="0" fontId="3" fillId="0" borderId="14" xfId="5" applyFont="1" applyBorder="1" applyAlignment="1" applyProtection="1">
      <alignment horizontal="center" vertical="center"/>
      <protection locked="0"/>
    </xf>
    <xf numFmtId="0" fontId="3" fillId="0" borderId="15" xfId="5" applyFont="1" applyBorder="1" applyAlignment="1" applyProtection="1">
      <alignment horizontal="center" vertical="center"/>
      <protection locked="0"/>
    </xf>
    <xf numFmtId="0" fontId="3" fillId="0" borderId="11" xfId="5" applyFont="1" applyBorder="1" applyAlignment="1" applyProtection="1">
      <alignment horizontal="center" vertical="center"/>
      <protection locked="0"/>
    </xf>
    <xf numFmtId="0" fontId="3" fillId="0" borderId="12" xfId="5" applyFont="1" applyBorder="1" applyAlignment="1" applyProtection="1">
      <alignment horizontal="center" vertical="center"/>
      <protection locked="0"/>
    </xf>
    <xf numFmtId="0" fontId="3" fillId="0" borderId="17" xfId="5" applyFont="1" applyBorder="1" applyAlignment="1" applyProtection="1">
      <alignment horizontal="center"/>
      <protection locked="0"/>
    </xf>
    <xf numFmtId="0" fontId="3" fillId="3" borderId="13" xfId="5" applyFont="1" applyFill="1" applyBorder="1" applyAlignment="1" applyProtection="1">
      <alignment horizontal="center" vertical="center"/>
      <protection locked="0"/>
    </xf>
    <xf numFmtId="0" fontId="3" fillId="3" borderId="14" xfId="5" applyFont="1" applyFill="1" applyBorder="1" applyAlignment="1" applyProtection="1">
      <alignment horizontal="center" vertical="center"/>
      <protection locked="0"/>
    </xf>
    <xf numFmtId="0" fontId="3" fillId="3" borderId="15" xfId="5" applyFont="1" applyFill="1" applyBorder="1" applyAlignment="1" applyProtection="1">
      <alignment horizontal="center" vertical="center"/>
      <protection locked="0"/>
    </xf>
    <xf numFmtId="0" fontId="3" fillId="3" borderId="12" xfId="5" applyFont="1" applyFill="1" applyBorder="1" applyAlignment="1" applyProtection="1">
      <alignment vertical="center"/>
      <protection locked="0"/>
    </xf>
    <xf numFmtId="9" fontId="3" fillId="3" borderId="12" xfId="3" quotePrefix="1" applyFont="1" applyFill="1" applyBorder="1" applyAlignment="1" applyProtection="1">
      <alignment vertical="center"/>
      <protection locked="0"/>
    </xf>
    <xf numFmtId="166" fontId="3" fillId="3" borderId="12" xfId="5" quotePrefix="1" applyNumberFormat="1" applyFont="1" applyFill="1" applyBorder="1" applyAlignment="1" applyProtection="1">
      <alignment vertical="center"/>
      <protection locked="0"/>
    </xf>
    <xf numFmtId="167" fontId="3" fillId="3" borderId="17" xfId="5" quotePrefix="1" applyNumberFormat="1" applyFont="1" applyFill="1" applyBorder="1" applyAlignment="1" applyProtection="1">
      <alignment vertical="center"/>
      <protection locked="0"/>
    </xf>
    <xf numFmtId="1" fontId="3" fillId="0" borderId="0" xfId="5" applyNumberFormat="1" applyFont="1" applyAlignment="1" applyProtection="1">
      <alignment horizontal="center" vertical="center"/>
      <protection locked="0"/>
    </xf>
    <xf numFmtId="0" fontId="3" fillId="4" borderId="13" xfId="5" applyFont="1" applyFill="1" applyBorder="1" applyProtection="1">
      <protection hidden="1"/>
    </xf>
    <xf numFmtId="167" fontId="3" fillId="4" borderId="12" xfId="5" applyNumberFormat="1" applyFont="1" applyFill="1" applyBorder="1" applyProtection="1">
      <protection hidden="1"/>
    </xf>
    <xf numFmtId="166" fontId="3" fillId="4" borderId="12" xfId="5" applyNumberFormat="1" applyFont="1" applyFill="1" applyBorder="1" applyProtection="1">
      <protection hidden="1"/>
    </xf>
    <xf numFmtId="167" fontId="3" fillId="4" borderId="17" xfId="5" applyNumberFormat="1" applyFont="1" applyFill="1" applyBorder="1" applyProtection="1">
      <protection hidden="1"/>
    </xf>
    <xf numFmtId="0" fontId="6" fillId="0" borderId="0" xfId="0" applyFont="1"/>
    <xf numFmtId="0" fontId="3" fillId="0" borderId="18" xfId="5" applyFont="1" applyBorder="1" applyAlignment="1" applyProtection="1">
      <alignment horizontal="left" vertical="center"/>
      <protection locked="0"/>
    </xf>
    <xf numFmtId="0" fontId="3" fillId="0" borderId="19" xfId="5" quotePrefix="1" applyFont="1" applyBorder="1" applyAlignment="1" applyProtection="1">
      <alignment horizontal="left" vertical="center"/>
      <protection locked="0"/>
    </xf>
    <xf numFmtId="0" fontId="3" fillId="4" borderId="20" xfId="5" applyFont="1" applyFill="1" applyBorder="1" applyProtection="1">
      <protection hidden="1"/>
    </xf>
    <xf numFmtId="0" fontId="3" fillId="3" borderId="20" xfId="5" applyFont="1" applyFill="1" applyBorder="1" applyAlignment="1" applyProtection="1">
      <alignment horizontal="center" vertical="center"/>
      <protection locked="0"/>
    </xf>
    <xf numFmtId="0" fontId="3" fillId="3" borderId="21" xfId="5" applyFont="1" applyFill="1" applyBorder="1" applyAlignment="1" applyProtection="1">
      <alignment horizontal="center" vertical="center"/>
      <protection locked="0"/>
    </xf>
    <xf numFmtId="0" fontId="3" fillId="3" borderId="22" xfId="5" applyFont="1" applyFill="1" applyBorder="1" applyAlignment="1" applyProtection="1">
      <alignment horizontal="center" vertical="center"/>
      <protection locked="0"/>
    </xf>
    <xf numFmtId="0" fontId="3" fillId="0" borderId="18" xfId="5" applyFont="1" applyBorder="1" applyAlignment="1" applyProtection="1">
      <alignment horizontal="center" vertical="center"/>
      <protection locked="0"/>
    </xf>
    <xf numFmtId="0" fontId="3" fillId="0" borderId="19" xfId="5" applyFont="1" applyBorder="1" applyAlignment="1" applyProtection="1">
      <alignment horizontal="center" vertical="center"/>
      <protection locked="0"/>
    </xf>
    <xf numFmtId="0" fontId="7" fillId="4" borderId="20" xfId="5" applyFont="1" applyFill="1" applyBorder="1" applyAlignment="1">
      <alignment horizontal="center" vertical="center"/>
    </xf>
    <xf numFmtId="0" fontId="7" fillId="4" borderId="21" xfId="5" applyFont="1" applyFill="1" applyBorder="1" applyAlignment="1">
      <alignment horizontal="center" vertical="center"/>
    </xf>
    <xf numFmtId="0" fontId="7" fillId="4" borderId="22" xfId="5" applyFont="1" applyFill="1" applyBorder="1" applyAlignment="1">
      <alignment horizontal="center" vertical="center"/>
    </xf>
    <xf numFmtId="0" fontId="0" fillId="0" borderId="0" xfId="0" quotePrefix="1"/>
    <xf numFmtId="168" fontId="3" fillId="0" borderId="0" xfId="1" applyFont="1" applyBorder="1" applyProtection="1">
      <protection locked="0"/>
    </xf>
    <xf numFmtId="0" fontId="3" fillId="0" borderId="0" xfId="5" applyFont="1" applyAlignment="1" applyProtection="1">
      <alignment horizontal="center" vertical="center"/>
      <protection locked="0"/>
    </xf>
    <xf numFmtId="0" fontId="3" fillId="0" borderId="0" xfId="5" quotePrefix="1" applyFont="1" applyAlignment="1" applyProtection="1">
      <alignment horizontal="center" vertical="center"/>
      <protection locked="0"/>
    </xf>
    <xf numFmtId="168" fontId="3" fillId="0" borderId="23" xfId="1" applyFont="1" applyBorder="1" applyAlignment="1" applyProtection="1">
      <alignment horizontal="left"/>
      <protection locked="0"/>
    </xf>
    <xf numFmtId="168" fontId="3" fillId="0" borderId="24" xfId="1" applyFont="1" applyBorder="1" applyAlignment="1" applyProtection="1">
      <alignment horizontal="left"/>
      <protection locked="0"/>
    </xf>
    <xf numFmtId="3" fontId="3" fillId="5" borderId="25" xfId="6" applyNumberFormat="1" applyFont="1" applyFill="1" applyBorder="1" applyAlignment="1" applyProtection="1">
      <alignment horizontal="right" vertical="center"/>
      <protection locked="0"/>
    </xf>
    <xf numFmtId="168" fontId="3" fillId="0" borderId="0" xfId="1" applyFont="1" applyBorder="1" applyAlignment="1" applyProtection="1">
      <protection locked="0"/>
    </xf>
    <xf numFmtId="6" fontId="2" fillId="0" borderId="0" xfId="0" applyNumberFormat="1" applyFont="1"/>
    <xf numFmtId="41" fontId="3" fillId="0" borderId="1" xfId="2" applyFont="1" applyBorder="1" applyProtection="1">
      <protection locked="0"/>
    </xf>
    <xf numFmtId="168" fontId="3" fillId="0" borderId="25" xfId="5" applyNumberFormat="1" applyFont="1" applyBorder="1" applyAlignment="1" applyProtection="1">
      <alignment horizontal="right"/>
      <protection locked="0"/>
    </xf>
    <xf numFmtId="41" fontId="3" fillId="0" borderId="1" xfId="2" applyFont="1" applyBorder="1" applyAlignment="1" applyProtection="1">
      <alignment horizontal="center"/>
      <protection locked="0"/>
    </xf>
    <xf numFmtId="41" fontId="3" fillId="0" borderId="3" xfId="2" applyFont="1" applyBorder="1" applyAlignment="1" applyProtection="1">
      <alignment horizontal="center"/>
      <protection locked="0"/>
    </xf>
    <xf numFmtId="43" fontId="0" fillId="0" borderId="0" xfId="0" applyNumberFormat="1"/>
    <xf numFmtId="8" fontId="8" fillId="0" borderId="0" xfId="0" applyNumberFormat="1" applyFont="1"/>
    <xf numFmtId="169" fontId="3" fillId="0" borderId="0" xfId="6" applyFont="1" applyFill="1" applyBorder="1" applyAlignment="1" applyProtection="1">
      <alignment vertical="center"/>
      <protection locked="0"/>
    </xf>
    <xf numFmtId="3" fontId="2" fillId="0" borderId="0" xfId="0" applyNumberFormat="1" applyFont="1"/>
    <xf numFmtId="168" fontId="3" fillId="0" borderId="0" xfId="5" applyNumberFormat="1" applyFont="1" applyProtection="1">
      <protection locked="0"/>
    </xf>
    <xf numFmtId="0" fontId="4" fillId="0" borderId="0" xfId="5" applyFont="1" applyAlignment="1" applyProtection="1">
      <alignment horizontal="center"/>
      <protection locked="0"/>
    </xf>
    <xf numFmtId="168" fontId="3" fillId="0" borderId="4" xfId="5" applyNumberFormat="1" applyFont="1" applyBorder="1" applyAlignment="1" applyProtection="1">
      <alignment horizontal="center"/>
      <protection locked="0"/>
    </xf>
    <xf numFmtId="168" fontId="3" fillId="0" borderId="0" xfId="5" applyNumberFormat="1" applyFont="1" applyAlignment="1" applyProtection="1">
      <alignment horizontal="center"/>
      <protection locked="0"/>
    </xf>
    <xf numFmtId="0" fontId="9" fillId="3" borderId="5" xfId="5" applyFont="1" applyFill="1" applyBorder="1" applyAlignment="1" applyProtection="1">
      <alignment horizontal="center" vertical="center" wrapText="1"/>
      <protection locked="0"/>
    </xf>
    <xf numFmtId="0" fontId="9" fillId="3" borderId="26" xfId="5" applyFont="1" applyFill="1" applyBorder="1" applyAlignment="1" applyProtection="1">
      <alignment horizontal="center" vertical="center" wrapText="1"/>
      <protection locked="0"/>
    </xf>
    <xf numFmtId="0" fontId="9" fillId="3" borderId="27" xfId="5" applyFont="1" applyFill="1" applyBorder="1" applyAlignment="1" applyProtection="1">
      <alignment horizontal="center" vertical="center" wrapText="1"/>
      <protection locked="0"/>
    </xf>
    <xf numFmtId="0" fontId="9" fillId="3" borderId="28" xfId="5" applyFont="1" applyFill="1" applyBorder="1" applyAlignment="1" applyProtection="1">
      <alignment horizontal="center" vertical="center" wrapText="1"/>
      <protection locked="0"/>
    </xf>
    <xf numFmtId="41" fontId="2" fillId="0" borderId="0" xfId="0" applyNumberFormat="1" applyFont="1"/>
    <xf numFmtId="3" fontId="3" fillId="0" borderId="29" xfId="5" applyNumberFormat="1" applyFont="1" applyBorder="1" applyAlignment="1" applyProtection="1">
      <alignment vertical="center"/>
      <protection locked="0"/>
    </xf>
    <xf numFmtId="3" fontId="3" fillId="0" borderId="12" xfId="6" applyNumberFormat="1" applyFont="1" applyFill="1" applyBorder="1" applyAlignment="1" applyProtection="1">
      <alignment vertical="center"/>
      <protection locked="0"/>
    </xf>
    <xf numFmtId="9" fontId="3" fillId="0" borderId="12" xfId="3" applyFont="1" applyFill="1" applyBorder="1" applyAlignment="1" applyProtection="1">
      <alignment vertical="center"/>
      <protection locked="0"/>
    </xf>
    <xf numFmtId="3" fontId="3" fillId="4" borderId="12" xfId="6" applyNumberFormat="1" applyFont="1" applyFill="1" applyBorder="1" applyAlignment="1" applyProtection="1">
      <alignment vertical="center"/>
      <protection hidden="1"/>
    </xf>
    <xf numFmtId="9" fontId="10" fillId="4" borderId="12" xfId="3" applyFont="1" applyFill="1" applyBorder="1" applyAlignment="1" applyProtection="1">
      <alignment vertical="center"/>
      <protection hidden="1"/>
    </xf>
    <xf numFmtId="10" fontId="3" fillId="0" borderId="12" xfId="3" applyNumberFormat="1" applyFont="1" applyFill="1" applyBorder="1" applyAlignment="1" applyProtection="1">
      <alignment vertical="center"/>
      <protection locked="0"/>
    </xf>
    <xf numFmtId="3" fontId="10" fillId="4" borderId="12" xfId="6" applyNumberFormat="1" applyFont="1" applyFill="1" applyBorder="1" applyAlignment="1" applyProtection="1">
      <alignment vertical="center"/>
      <protection hidden="1"/>
    </xf>
    <xf numFmtId="3" fontId="10" fillId="4" borderId="12" xfId="5" applyNumberFormat="1" applyFont="1" applyFill="1" applyBorder="1" applyAlignment="1" applyProtection="1">
      <alignment vertical="center"/>
      <protection hidden="1"/>
    </xf>
    <xf numFmtId="3" fontId="10" fillId="4" borderId="17" xfId="5" applyNumberFormat="1" applyFont="1" applyFill="1" applyBorder="1" applyAlignment="1" applyProtection="1">
      <alignment vertical="center"/>
      <protection hidden="1"/>
    </xf>
    <xf numFmtId="41" fontId="0" fillId="0" borderId="0" xfId="0" applyNumberFormat="1"/>
    <xf numFmtId="3" fontId="3" fillId="0" borderId="16" xfId="5" applyNumberFormat="1" applyFont="1" applyBorder="1" applyAlignment="1" applyProtection="1">
      <alignment vertical="center"/>
      <protection locked="0"/>
    </xf>
    <xf numFmtId="3" fontId="3" fillId="0" borderId="11" xfId="0" applyNumberFormat="1" applyFont="1" applyBorder="1" applyAlignment="1" applyProtection="1">
      <alignment vertical="center"/>
      <protection locked="0"/>
    </xf>
    <xf numFmtId="0" fontId="11" fillId="0" borderId="0" xfId="0" applyFont="1"/>
    <xf numFmtId="41" fontId="3" fillId="0" borderId="0" xfId="2" applyFont="1" applyProtection="1">
      <protection locked="0"/>
    </xf>
    <xf numFmtId="3" fontId="3" fillId="0" borderId="12" xfId="5" applyNumberFormat="1" applyFont="1" applyBorder="1" applyAlignment="1" applyProtection="1">
      <alignment vertical="center"/>
      <protection locked="0"/>
    </xf>
    <xf numFmtId="3" fontId="3" fillId="0" borderId="30" xfId="5" applyNumberFormat="1" applyFont="1" applyBorder="1" applyAlignment="1" applyProtection="1">
      <alignment vertical="center"/>
      <protection locked="0"/>
    </xf>
    <xf numFmtId="41" fontId="0" fillId="0" borderId="0" xfId="2" applyFont="1"/>
    <xf numFmtId="3" fontId="3" fillId="0" borderId="31" xfId="5" applyNumberFormat="1" applyFont="1" applyBorder="1" applyAlignment="1" applyProtection="1">
      <alignment vertical="center"/>
      <protection locked="0"/>
    </xf>
    <xf numFmtId="3" fontId="3" fillId="0" borderId="32" xfId="5" applyNumberFormat="1" applyFont="1" applyBorder="1" applyAlignment="1" applyProtection="1">
      <alignment vertical="center"/>
      <protection locked="0"/>
    </xf>
    <xf numFmtId="3" fontId="3" fillId="0" borderId="32" xfId="6" applyNumberFormat="1" applyFont="1" applyFill="1" applyBorder="1" applyAlignment="1" applyProtection="1">
      <alignment vertical="center"/>
      <protection locked="0"/>
    </xf>
    <xf numFmtId="9" fontId="3" fillId="0" borderId="32" xfId="3" applyFont="1" applyFill="1" applyBorder="1" applyAlignment="1" applyProtection="1">
      <alignment vertical="center"/>
      <protection locked="0"/>
    </xf>
    <xf numFmtId="3" fontId="3" fillId="4" borderId="32" xfId="6" applyNumberFormat="1" applyFont="1" applyFill="1" applyBorder="1" applyAlignment="1" applyProtection="1">
      <alignment vertical="center"/>
      <protection hidden="1"/>
    </xf>
    <xf numFmtId="9" fontId="3" fillId="4" borderId="32" xfId="3" applyFont="1" applyFill="1" applyBorder="1" applyAlignment="1" applyProtection="1">
      <alignment vertical="center"/>
      <protection hidden="1"/>
    </xf>
    <xf numFmtId="3" fontId="3" fillId="4" borderId="32" xfId="5" applyNumberFormat="1" applyFont="1" applyFill="1" applyBorder="1" applyAlignment="1" applyProtection="1">
      <alignment vertical="center"/>
      <protection hidden="1"/>
    </xf>
    <xf numFmtId="3" fontId="3" fillId="4" borderId="33" xfId="3" applyNumberFormat="1" applyFont="1" applyFill="1" applyBorder="1" applyAlignment="1" applyProtection="1">
      <alignment vertical="center"/>
      <protection hidden="1"/>
    </xf>
    <xf numFmtId="0" fontId="3" fillId="0" borderId="34" xfId="5" applyFont="1" applyBorder="1" applyProtection="1">
      <protection locked="0"/>
    </xf>
    <xf numFmtId="171" fontId="3" fillId="0" borderId="34" xfId="7" applyNumberFormat="1" applyFont="1" applyFill="1" applyBorder="1" applyProtection="1">
      <protection locked="0"/>
    </xf>
    <xf numFmtId="3" fontId="3" fillId="0" borderId="18" xfId="5" applyNumberFormat="1" applyFont="1" applyBorder="1" applyAlignment="1" applyProtection="1">
      <alignment vertical="center"/>
      <protection locked="0"/>
    </xf>
    <xf numFmtId="3" fontId="3" fillId="0" borderId="19" xfId="5" applyNumberFormat="1" applyFont="1" applyBorder="1" applyAlignment="1" applyProtection="1">
      <alignment vertical="center"/>
      <protection locked="0"/>
    </xf>
    <xf numFmtId="3" fontId="3" fillId="0" borderId="19" xfId="6" applyNumberFormat="1" applyFont="1" applyFill="1" applyBorder="1" applyAlignment="1" applyProtection="1">
      <alignment vertical="center"/>
      <protection locked="0"/>
    </xf>
    <xf numFmtId="9" fontId="3" fillId="0" borderId="19" xfId="3" applyFont="1" applyFill="1" applyBorder="1" applyAlignment="1" applyProtection="1">
      <alignment vertical="center"/>
      <protection locked="0"/>
    </xf>
    <xf numFmtId="3" fontId="3" fillId="4" borderId="35" xfId="6" applyNumberFormat="1" applyFont="1" applyFill="1" applyBorder="1" applyAlignment="1" applyProtection="1">
      <alignment vertical="center"/>
      <protection hidden="1"/>
    </xf>
    <xf numFmtId="9" fontId="3" fillId="4" borderId="19" xfId="3" applyFont="1" applyFill="1" applyBorder="1" applyAlignment="1" applyProtection="1">
      <alignment vertical="center"/>
      <protection hidden="1"/>
    </xf>
    <xf numFmtId="3" fontId="3" fillId="4" borderId="19" xfId="6" applyNumberFormat="1" applyFont="1" applyFill="1" applyBorder="1" applyAlignment="1" applyProtection="1">
      <alignment vertical="center"/>
      <protection hidden="1"/>
    </xf>
    <xf numFmtId="3" fontId="3" fillId="4" borderId="19" xfId="5" applyNumberFormat="1" applyFont="1" applyFill="1" applyBorder="1" applyAlignment="1" applyProtection="1">
      <alignment vertical="center"/>
      <protection hidden="1"/>
    </xf>
    <xf numFmtId="3" fontId="3" fillId="4" borderId="36" xfId="3" applyNumberFormat="1" applyFont="1" applyFill="1" applyBorder="1" applyAlignment="1" applyProtection="1">
      <alignment vertical="center"/>
      <protection hidden="1"/>
    </xf>
    <xf numFmtId="3" fontId="3" fillId="0" borderId="0" xfId="5" applyNumberFormat="1" applyFont="1" applyAlignment="1" applyProtection="1">
      <alignment vertical="center"/>
      <protection locked="0"/>
    </xf>
    <xf numFmtId="0" fontId="9" fillId="3" borderId="31" xfId="5" applyFont="1" applyFill="1" applyBorder="1" applyAlignment="1" applyProtection="1">
      <alignment vertical="center"/>
      <protection locked="0"/>
    </xf>
    <xf numFmtId="0" fontId="9" fillId="3" borderId="32" xfId="5" applyFont="1" applyFill="1" applyBorder="1" applyAlignment="1" applyProtection="1">
      <alignment vertical="center"/>
      <protection locked="0"/>
    </xf>
    <xf numFmtId="0" fontId="9" fillId="3" borderId="37" xfId="5" applyFont="1" applyFill="1" applyBorder="1" applyAlignment="1" applyProtection="1">
      <alignment vertical="center"/>
      <protection locked="0"/>
    </xf>
    <xf numFmtId="172" fontId="9" fillId="3" borderId="38" xfId="6" applyNumberFormat="1" applyFont="1" applyFill="1" applyBorder="1" applyAlignment="1" applyProtection="1">
      <alignment vertical="center"/>
      <protection hidden="1"/>
    </xf>
    <xf numFmtId="0" fontId="3" fillId="0" borderId="5" xfId="5" applyFont="1" applyBorder="1" applyAlignment="1" applyProtection="1">
      <alignment horizontal="left" wrapText="1"/>
      <protection locked="0"/>
    </xf>
    <xf numFmtId="0" fontId="3" fillId="0" borderId="9" xfId="5" applyFont="1" applyBorder="1" applyAlignment="1" applyProtection="1">
      <alignment horizontal="left" wrapText="1"/>
      <protection locked="0"/>
    </xf>
    <xf numFmtId="0" fontId="3" fillId="0" borderId="10" xfId="5" applyFont="1" applyBorder="1" applyAlignment="1" applyProtection="1">
      <alignment horizontal="left" wrapText="1"/>
      <protection locked="0"/>
    </xf>
    <xf numFmtId="0" fontId="3" fillId="0" borderId="11" xfId="5" applyFont="1" applyBorder="1" applyAlignment="1" applyProtection="1">
      <alignment vertical="center"/>
      <protection locked="0"/>
    </xf>
    <xf numFmtId="0" fontId="3" fillId="0" borderId="12" xfId="5" applyFont="1" applyBorder="1" applyAlignment="1" applyProtection="1">
      <alignment vertical="center"/>
      <protection locked="0"/>
    </xf>
    <xf numFmtId="0" fontId="3" fillId="0" borderId="13" xfId="5" applyFont="1" applyBorder="1" applyAlignment="1" applyProtection="1">
      <alignment vertical="center"/>
      <protection locked="0"/>
    </xf>
    <xf numFmtId="172" fontId="12" fillId="4" borderId="39" xfId="6" applyNumberFormat="1" applyFont="1" applyFill="1" applyBorder="1" applyAlignment="1" applyProtection="1">
      <alignment vertical="center"/>
      <protection hidden="1"/>
    </xf>
    <xf numFmtId="1" fontId="0" fillId="0" borderId="0" xfId="0" applyNumberFormat="1"/>
    <xf numFmtId="0" fontId="13" fillId="0" borderId="11" xfId="5" applyFont="1" applyBorder="1" applyAlignment="1" applyProtection="1">
      <alignment horizontal="left"/>
      <protection locked="0"/>
    </xf>
    <xf numFmtId="0" fontId="13" fillId="0" borderId="12" xfId="5" applyFont="1" applyBorder="1" applyAlignment="1" applyProtection="1">
      <alignment horizontal="left"/>
      <protection locked="0"/>
    </xf>
    <xf numFmtId="0" fontId="13" fillId="0" borderId="17" xfId="5" applyFont="1" applyBorder="1" applyAlignment="1" applyProtection="1">
      <alignment horizontal="left"/>
      <protection locked="0"/>
    </xf>
    <xf numFmtId="0" fontId="4" fillId="3" borderId="18" xfId="5" applyFont="1" applyFill="1" applyBorder="1" applyProtection="1">
      <protection locked="0"/>
    </xf>
    <xf numFmtId="0" fontId="4" fillId="3" borderId="19" xfId="5" applyFont="1" applyFill="1" applyBorder="1" applyProtection="1">
      <protection locked="0"/>
    </xf>
    <xf numFmtId="0" fontId="4" fillId="3" borderId="20" xfId="5" applyFont="1" applyFill="1" applyBorder="1" applyProtection="1">
      <protection locked="0"/>
    </xf>
    <xf numFmtId="172" fontId="4" fillId="3" borderId="40" xfId="5" applyNumberFormat="1" applyFont="1" applyFill="1" applyBorder="1" applyProtection="1">
      <protection hidden="1"/>
    </xf>
    <xf numFmtId="9" fontId="0" fillId="0" borderId="0" xfId="0" applyNumberFormat="1"/>
    <xf numFmtId="0" fontId="3" fillId="0" borderId="18" xfId="5" applyFont="1" applyBorder="1" applyAlignment="1" applyProtection="1">
      <alignment horizontal="left"/>
      <protection locked="0"/>
    </xf>
    <xf numFmtId="0" fontId="3" fillId="0" borderId="19" xfId="5" applyFont="1" applyBorder="1" applyAlignment="1" applyProtection="1">
      <alignment horizontal="left"/>
      <protection locked="0"/>
    </xf>
    <xf numFmtId="0" fontId="3" fillId="0" borderId="36" xfId="5" applyFont="1" applyBorder="1" applyAlignment="1" applyProtection="1">
      <alignment horizontal="left"/>
      <protection locked="0"/>
    </xf>
    <xf numFmtId="0" fontId="3" fillId="0" borderId="0" xfId="5" applyFont="1" applyAlignment="1" applyProtection="1">
      <alignment wrapText="1"/>
      <protection locked="0"/>
    </xf>
    <xf numFmtId="0" fontId="14" fillId="0" borderId="0" xfId="5" applyFont="1" applyAlignment="1" applyProtection="1">
      <alignment horizontal="center" wrapText="1"/>
      <protection locked="0"/>
    </xf>
    <xf numFmtId="173" fontId="14" fillId="0" borderId="0" xfId="5" applyNumberFormat="1" applyFont="1" applyAlignment="1" applyProtection="1">
      <alignment wrapText="1"/>
      <protection locked="0"/>
    </xf>
    <xf numFmtId="0" fontId="15" fillId="0" borderId="1" xfId="5" applyFont="1" applyBorder="1" applyAlignment="1" applyProtection="1">
      <alignment horizontal="center" wrapText="1"/>
      <protection locked="0"/>
    </xf>
    <xf numFmtId="0" fontId="15" fillId="0" borderId="2" xfId="5" applyFont="1" applyBorder="1" applyAlignment="1" applyProtection="1">
      <alignment horizontal="center" wrapText="1"/>
      <protection locked="0"/>
    </xf>
    <xf numFmtId="168" fontId="15" fillId="0" borderId="25" xfId="1" applyFont="1" applyBorder="1" applyAlignment="1" applyProtection="1">
      <alignment wrapText="1"/>
      <protection locked="0"/>
    </xf>
    <xf numFmtId="174" fontId="3" fillId="0" borderId="0" xfId="1" applyNumberFormat="1" applyFont="1" applyProtection="1">
      <protection locked="0"/>
    </xf>
    <xf numFmtId="14" fontId="3" fillId="0" borderId="0" xfId="1" applyNumberFormat="1" applyFont="1" applyProtection="1">
      <protection locked="0"/>
    </xf>
    <xf numFmtId="0" fontId="4" fillId="3" borderId="41" xfId="5" applyFont="1" applyFill="1" applyBorder="1" applyAlignment="1" applyProtection="1">
      <alignment horizontal="left" vertical="center" wrapText="1"/>
      <protection locked="0"/>
    </xf>
    <xf numFmtId="0" fontId="3" fillId="3" borderId="4" xfId="5" applyFont="1" applyFill="1" applyBorder="1" applyAlignment="1" applyProtection="1">
      <alignment horizontal="left" vertical="center" wrapText="1"/>
      <protection locked="0"/>
    </xf>
    <xf numFmtId="0" fontId="3" fillId="3" borderId="28" xfId="5" applyFont="1" applyFill="1" applyBorder="1" applyAlignment="1" applyProtection="1">
      <alignment horizontal="left" vertical="center" wrapText="1"/>
      <protection locked="0"/>
    </xf>
    <xf numFmtId="172" fontId="3" fillId="0" borderId="0" xfId="5" applyNumberFormat="1" applyFont="1" applyProtection="1">
      <protection locked="0"/>
    </xf>
    <xf numFmtId="0" fontId="3" fillId="3" borderId="42" xfId="5" applyFont="1" applyFill="1" applyBorder="1" applyAlignment="1" applyProtection="1">
      <alignment horizontal="left" vertical="center" wrapText="1"/>
      <protection locked="0"/>
    </xf>
    <xf numFmtId="0" fontId="3" fillId="3" borderId="43" xfId="5" applyFont="1" applyFill="1" applyBorder="1" applyAlignment="1" applyProtection="1">
      <alignment horizontal="left" vertical="center" wrapText="1"/>
      <protection locked="0"/>
    </xf>
    <xf numFmtId="0" fontId="3" fillId="3" borderId="44" xfId="5" applyFont="1" applyFill="1" applyBorder="1" applyAlignment="1" applyProtection="1">
      <alignment horizontal="left" vertical="center" wrapText="1"/>
      <protection locked="0"/>
    </xf>
    <xf numFmtId="2" fontId="3" fillId="0" borderId="0" xfId="1" applyNumberFormat="1" applyFont="1" applyProtection="1">
      <protection locked="0"/>
    </xf>
    <xf numFmtId="0" fontId="16" fillId="0" borderId="0" xfId="0" applyFont="1" applyAlignment="1">
      <alignment horizontal="justify" wrapText="1"/>
    </xf>
    <xf numFmtId="171" fontId="3" fillId="0" borderId="0" xfId="7" applyNumberFormat="1" applyFont="1" applyFill="1" applyBorder="1" applyProtection="1">
      <protection locked="0"/>
    </xf>
    <xf numFmtId="0" fontId="2" fillId="0" borderId="0" xfId="0" applyFont="1" applyAlignment="1">
      <alignment horizontal="justify" wrapText="1"/>
    </xf>
    <xf numFmtId="0" fontId="0" fillId="0" borderId="0" xfId="0" applyAlignment="1">
      <alignment horizontal="justify" wrapText="1"/>
    </xf>
    <xf numFmtId="0" fontId="2" fillId="0" borderId="0" xfId="0" applyFont="1" applyAlignment="1">
      <alignment horizontal="justify" wrapText="1"/>
    </xf>
    <xf numFmtId="0" fontId="0" fillId="0" borderId="0" xfId="0" applyAlignment="1">
      <alignment horizontal="justify" wrapText="1"/>
    </xf>
    <xf numFmtId="0" fontId="2" fillId="6" borderId="0" xfId="0" applyFont="1" applyFill="1" applyAlignment="1">
      <alignment horizontal="justify" wrapText="1"/>
    </xf>
    <xf numFmtId="9" fontId="3" fillId="0" borderId="0" xfId="3" applyFont="1" applyProtection="1">
      <protection locked="0"/>
    </xf>
    <xf numFmtId="171" fontId="3" fillId="0" borderId="0" xfId="5" applyNumberFormat="1" applyFont="1" applyProtection="1">
      <protection locked="0"/>
    </xf>
    <xf numFmtId="0" fontId="16" fillId="6" borderId="0" xfId="0" applyFont="1" applyFill="1" applyAlignment="1">
      <alignment horizontal="justify" wrapText="1"/>
    </xf>
    <xf numFmtId="170" fontId="3" fillId="0" borderId="0" xfId="7" applyFont="1" applyProtection="1">
      <protection locked="0"/>
    </xf>
    <xf numFmtId="41" fontId="4" fillId="7" borderId="23" xfId="2" applyFont="1" applyFill="1" applyBorder="1" applyProtection="1">
      <protection locked="0"/>
    </xf>
    <xf numFmtId="2" fontId="4" fillId="7" borderId="45" xfId="1" applyNumberFormat="1" applyFont="1" applyFill="1" applyBorder="1" applyProtection="1">
      <protection locked="0"/>
    </xf>
    <xf numFmtId="2" fontId="4" fillId="7" borderId="46" xfId="1" applyNumberFormat="1" applyFont="1" applyFill="1" applyBorder="1" applyProtection="1">
      <protection locked="0"/>
    </xf>
    <xf numFmtId="171" fontId="3" fillId="0" borderId="34" xfId="5" applyNumberFormat="1" applyFont="1" applyBorder="1" applyProtection="1">
      <protection locked="0"/>
    </xf>
    <xf numFmtId="0" fontId="20" fillId="7" borderId="31" xfId="0" applyFont="1" applyFill="1" applyBorder="1" applyAlignment="1">
      <alignment horizontal="left" vertical="top" wrapText="1"/>
    </xf>
    <xf numFmtId="3" fontId="21" fillId="7" borderId="12" xfId="0" applyNumberFormat="1" applyFont="1" applyFill="1" applyBorder="1" applyAlignment="1">
      <alignment vertical="center" wrapText="1"/>
    </xf>
    <xf numFmtId="41" fontId="3" fillId="7" borderId="17" xfId="2" applyFont="1" applyFill="1" applyBorder="1" applyProtection="1">
      <protection locked="0"/>
    </xf>
    <xf numFmtId="41" fontId="3" fillId="0" borderId="0" xfId="2" applyFont="1" applyAlignment="1" applyProtection="1">
      <alignment horizontal="center"/>
      <protection locked="0"/>
    </xf>
    <xf numFmtId="0" fontId="22" fillId="7" borderId="11" xfId="0" applyFont="1" applyFill="1" applyBorder="1" applyAlignment="1">
      <alignment vertical="center" wrapText="1"/>
    </xf>
    <xf numFmtId="2" fontId="3" fillId="0" borderId="0" xfId="7" applyNumberFormat="1" applyFont="1" applyProtection="1">
      <protection locked="0"/>
    </xf>
    <xf numFmtId="0" fontId="22" fillId="7" borderId="18" xfId="0" applyFont="1" applyFill="1" applyBorder="1" applyAlignment="1">
      <alignment vertical="center" wrapText="1"/>
    </xf>
    <xf numFmtId="3" fontId="21" fillId="7" borderId="19" xfId="0" applyNumberFormat="1" applyFont="1" applyFill="1" applyBorder="1" applyAlignment="1">
      <alignment vertical="center" wrapText="1"/>
    </xf>
    <xf numFmtId="41" fontId="3" fillId="7" borderId="36" xfId="2" applyFont="1" applyFill="1" applyBorder="1" applyProtection="1">
      <protection locked="0"/>
    </xf>
    <xf numFmtId="2" fontId="3" fillId="0" borderId="0" xfId="5" applyNumberFormat="1" applyFont="1" applyProtection="1">
      <protection locked="0"/>
    </xf>
    <xf numFmtId="0" fontId="23" fillId="0" borderId="0" xfId="5" applyFont="1" applyProtection="1">
      <protection locked="0"/>
    </xf>
    <xf numFmtId="0" fontId="24" fillId="0" borderId="0" xfId="5" applyFont="1" applyProtection="1">
      <protection locked="0"/>
    </xf>
    <xf numFmtId="0" fontId="10" fillId="0" borderId="0" xfId="5" applyFont="1" applyProtection="1">
      <protection locked="0"/>
    </xf>
    <xf numFmtId="0" fontId="25" fillId="0" borderId="0" xfId="5" applyFont="1" applyAlignment="1" applyProtection="1">
      <alignment vertical="center"/>
      <protection locked="0"/>
    </xf>
    <xf numFmtId="0" fontId="25" fillId="0" borderId="1" xfId="5" applyFont="1" applyBorder="1" applyAlignment="1" applyProtection="1">
      <alignment horizontal="center" vertical="center"/>
      <protection locked="0"/>
    </xf>
    <xf numFmtId="0" fontId="25" fillId="0" borderId="2" xfId="5" applyFont="1" applyBorder="1" applyAlignment="1" applyProtection="1">
      <alignment horizontal="center" vertical="center"/>
      <protection locked="0"/>
    </xf>
    <xf numFmtId="0" fontId="25" fillId="0" borderId="3" xfId="5" applyFont="1" applyBorder="1" applyAlignment="1" applyProtection="1">
      <alignment horizontal="center" vertical="center"/>
      <protection locked="0"/>
    </xf>
    <xf numFmtId="0" fontId="26" fillId="0" borderId="0" xfId="5" applyFont="1" applyAlignment="1" applyProtection="1">
      <alignment horizontal="center" vertical="center"/>
      <protection locked="0"/>
    </xf>
    <xf numFmtId="0" fontId="26" fillId="0" borderId="0" xfId="5" applyFont="1" applyAlignment="1" applyProtection="1">
      <alignment vertical="center"/>
      <protection locked="0"/>
    </xf>
    <xf numFmtId="0" fontId="26" fillId="0" borderId="0" xfId="5" quotePrefix="1" applyFont="1" applyAlignment="1" applyProtection="1">
      <alignment vertical="center"/>
      <protection locked="0"/>
    </xf>
    <xf numFmtId="0" fontId="27" fillId="0" borderId="0" xfId="5" applyFont="1" applyProtection="1">
      <protection locked="0"/>
    </xf>
    <xf numFmtId="0" fontId="10" fillId="0" borderId="0" xfId="5" applyFont="1" applyAlignment="1" applyProtection="1">
      <alignment vertical="center"/>
      <protection locked="0"/>
    </xf>
    <xf numFmtId="164" fontId="10" fillId="0" borderId="2" xfId="5" applyNumberFormat="1" applyFont="1" applyBorder="1" applyAlignment="1" applyProtection="1">
      <alignment horizontal="center" vertical="center"/>
      <protection locked="0"/>
    </xf>
    <xf numFmtId="0" fontId="24" fillId="0" borderId="0" xfId="5" applyFont="1" applyAlignment="1" applyProtection="1">
      <alignment vertical="center"/>
      <protection locked="0"/>
    </xf>
    <xf numFmtId="0" fontId="25" fillId="0" borderId="5" xfId="5" applyFont="1" applyBorder="1" applyAlignment="1" applyProtection="1">
      <alignment horizontal="left"/>
      <protection locked="0"/>
    </xf>
    <xf numFmtId="0" fontId="25" fillId="0" borderId="9" xfId="5" applyFont="1" applyBorder="1" applyAlignment="1" applyProtection="1">
      <alignment horizontal="left"/>
      <protection locked="0"/>
    </xf>
    <xf numFmtId="1" fontId="28" fillId="3" borderId="6" xfId="8" quotePrefix="1" applyNumberFormat="1" applyFont="1" applyFill="1" applyBorder="1" applyAlignment="1" applyProtection="1">
      <alignment horizontal="center" vertical="center" wrapText="1"/>
      <protection locked="0"/>
    </xf>
    <xf numFmtId="0" fontId="25" fillId="0" borderId="6" xfId="5" applyFont="1" applyBorder="1" applyAlignment="1" applyProtection="1">
      <alignment horizontal="center" vertical="center"/>
      <protection locked="0"/>
    </xf>
    <xf numFmtId="0" fontId="25" fillId="0" borderId="7" xfId="5" applyFont="1" applyBorder="1" applyAlignment="1" applyProtection="1">
      <alignment horizontal="center" vertical="center"/>
      <protection locked="0"/>
    </xf>
    <xf numFmtId="0" fontId="25" fillId="0" borderId="5" xfId="5" applyFont="1" applyBorder="1" applyAlignment="1" applyProtection="1">
      <alignment horizontal="center"/>
      <protection locked="0"/>
    </xf>
    <xf numFmtId="0" fontId="25" fillId="0" borderId="9" xfId="5" applyFont="1" applyBorder="1" applyAlignment="1" applyProtection="1">
      <alignment horizontal="center"/>
      <protection locked="0"/>
    </xf>
    <xf numFmtId="0" fontId="25" fillId="0" borderId="10" xfId="5" applyFont="1" applyBorder="1" applyAlignment="1" applyProtection="1">
      <alignment horizontal="center"/>
      <protection locked="0"/>
    </xf>
    <xf numFmtId="0" fontId="24" fillId="0" borderId="0" xfId="5" applyFont="1" applyAlignment="1" applyProtection="1">
      <alignment horizontal="center"/>
      <protection locked="0"/>
    </xf>
    <xf numFmtId="0" fontId="24" fillId="0" borderId="0" xfId="5" quotePrefix="1" applyFont="1" applyAlignment="1" applyProtection="1">
      <alignment vertical="center"/>
      <protection locked="0"/>
    </xf>
    <xf numFmtId="0" fontId="25" fillId="0" borderId="11" xfId="5" applyFont="1" applyBorder="1" applyAlignment="1" applyProtection="1">
      <alignment horizontal="left" vertical="center"/>
      <protection locked="0"/>
    </xf>
    <xf numFmtId="0" fontId="25" fillId="0" borderId="12" xfId="5" applyFont="1" applyBorder="1" applyAlignment="1" applyProtection="1">
      <alignment horizontal="left" vertical="center"/>
      <protection locked="0"/>
    </xf>
    <xf numFmtId="165" fontId="28" fillId="3" borderId="13" xfId="8" applyNumberFormat="1" applyFont="1" applyFill="1" applyBorder="1" applyAlignment="1" applyProtection="1">
      <protection locked="0"/>
    </xf>
    <xf numFmtId="1" fontId="10" fillId="3" borderId="13" xfId="5" quotePrefix="1" applyNumberFormat="1" applyFont="1" applyFill="1" applyBorder="1" applyAlignment="1" applyProtection="1">
      <alignment horizontal="center" vertical="center"/>
      <protection locked="0"/>
    </xf>
    <xf numFmtId="1" fontId="10" fillId="3" borderId="14" xfId="5" applyNumberFormat="1" applyFont="1" applyFill="1" applyBorder="1" applyAlignment="1" applyProtection="1">
      <alignment horizontal="center" vertical="center"/>
      <protection locked="0"/>
    </xf>
    <xf numFmtId="1" fontId="10" fillId="3" borderId="15" xfId="5" applyNumberFormat="1" applyFont="1" applyFill="1" applyBorder="1" applyAlignment="1" applyProtection="1">
      <alignment horizontal="center" vertical="center"/>
      <protection locked="0"/>
    </xf>
    <xf numFmtId="0" fontId="10" fillId="3" borderId="16" xfId="5" applyFont="1" applyFill="1" applyBorder="1" applyAlignment="1" applyProtection="1">
      <alignment horizontal="center"/>
      <protection locked="0"/>
    </xf>
    <xf numFmtId="0" fontId="10" fillId="3" borderId="14" xfId="5" applyFont="1" applyFill="1" applyBorder="1" applyAlignment="1" applyProtection="1">
      <alignment horizontal="center"/>
      <protection locked="0"/>
    </xf>
    <xf numFmtId="0" fontId="10" fillId="3" borderId="15" xfId="5" applyFont="1" applyFill="1" applyBorder="1" applyAlignment="1" applyProtection="1">
      <alignment horizontal="center"/>
      <protection locked="0"/>
    </xf>
    <xf numFmtId="165" fontId="28" fillId="3" borderId="13" xfId="8" applyNumberFormat="1" applyFont="1" applyFill="1" applyBorder="1" applyAlignment="1" applyProtection="1">
      <alignment horizontal="right"/>
      <protection locked="0"/>
    </xf>
    <xf numFmtId="0" fontId="25" fillId="0" borderId="13" xfId="5" applyFont="1" applyBorder="1" applyAlignment="1" applyProtection="1">
      <alignment horizontal="center" vertical="center"/>
      <protection locked="0"/>
    </xf>
    <xf numFmtId="0" fontId="25" fillId="0" borderId="14" xfId="5" applyFont="1" applyBorder="1" applyAlignment="1" applyProtection="1">
      <alignment horizontal="center" vertical="center"/>
      <protection locked="0"/>
    </xf>
    <xf numFmtId="0" fontId="25" fillId="0" borderId="11" xfId="5" applyFont="1" applyBorder="1" applyAlignment="1" applyProtection="1">
      <alignment horizontal="center" vertical="center"/>
      <protection locked="0"/>
    </xf>
    <xf numFmtId="0" fontId="25" fillId="0" borderId="12" xfId="5" applyFont="1" applyBorder="1" applyAlignment="1" applyProtection="1">
      <alignment horizontal="center" vertical="center"/>
      <protection locked="0"/>
    </xf>
    <xf numFmtId="0" fontId="25" fillId="0" borderId="17" xfId="5" applyFont="1" applyBorder="1" applyAlignment="1" applyProtection="1">
      <alignment horizontal="center"/>
      <protection locked="0"/>
    </xf>
    <xf numFmtId="0" fontId="10" fillId="3" borderId="13" xfId="5" applyFont="1" applyFill="1" applyBorder="1" applyAlignment="1" applyProtection="1">
      <alignment horizontal="center" vertical="center"/>
      <protection locked="0"/>
    </xf>
    <xf numFmtId="0" fontId="10" fillId="3" borderId="14" xfId="5" applyFont="1" applyFill="1" applyBorder="1" applyAlignment="1" applyProtection="1">
      <alignment horizontal="center" vertical="center"/>
      <protection locked="0"/>
    </xf>
    <xf numFmtId="0" fontId="10" fillId="3" borderId="12" xfId="5" applyFont="1" applyFill="1" applyBorder="1" applyAlignment="1" applyProtection="1">
      <alignment vertical="center"/>
      <protection locked="0"/>
    </xf>
    <xf numFmtId="176" fontId="10" fillId="3" borderId="12" xfId="3" applyNumberFormat="1" applyFont="1" applyFill="1" applyBorder="1" applyAlignment="1" applyProtection="1">
      <alignment vertical="center"/>
      <protection locked="0"/>
    </xf>
    <xf numFmtId="166" fontId="10" fillId="3" borderId="12" xfId="5" quotePrefix="1" applyNumberFormat="1" applyFont="1" applyFill="1" applyBorder="1" applyAlignment="1" applyProtection="1">
      <alignment vertical="center"/>
      <protection locked="0"/>
    </xf>
    <xf numFmtId="167" fontId="10" fillId="3" borderId="17" xfId="5" quotePrefix="1" applyNumberFormat="1" applyFont="1" applyFill="1" applyBorder="1" applyAlignment="1" applyProtection="1">
      <alignment vertical="center"/>
      <protection locked="0"/>
    </xf>
    <xf numFmtId="1" fontId="24" fillId="0" borderId="0" xfId="5" applyNumberFormat="1" applyFont="1" applyAlignment="1" applyProtection="1">
      <alignment horizontal="center" vertical="center"/>
      <protection locked="0"/>
    </xf>
    <xf numFmtId="0" fontId="10" fillId="4" borderId="13" xfId="5" applyFont="1" applyFill="1" applyBorder="1" applyProtection="1">
      <protection hidden="1"/>
    </xf>
    <xf numFmtId="167" fontId="10" fillId="4" borderId="12" xfId="5" applyNumberFormat="1" applyFont="1" applyFill="1" applyBorder="1" applyProtection="1">
      <protection hidden="1"/>
    </xf>
    <xf numFmtId="167" fontId="10" fillId="4" borderId="17" xfId="5" applyNumberFormat="1" applyFont="1" applyFill="1" applyBorder="1" applyProtection="1">
      <protection hidden="1"/>
    </xf>
    <xf numFmtId="0" fontId="25" fillId="0" borderId="18" xfId="5" applyFont="1" applyBorder="1" applyAlignment="1" applyProtection="1">
      <alignment horizontal="left" vertical="center"/>
      <protection locked="0"/>
    </xf>
    <xf numFmtId="0" fontId="25" fillId="0" borderId="19" xfId="5" quotePrefix="1" applyFont="1" applyBorder="1" applyAlignment="1" applyProtection="1">
      <alignment horizontal="left" vertical="center"/>
      <protection locked="0"/>
    </xf>
    <xf numFmtId="174" fontId="10" fillId="4" borderId="20" xfId="1" applyNumberFormat="1" applyFont="1" applyFill="1" applyBorder="1" applyAlignment="1" applyProtection="1">
      <protection hidden="1"/>
    </xf>
    <xf numFmtId="0" fontId="10" fillId="3" borderId="20" xfId="5" applyFont="1" applyFill="1" applyBorder="1" applyAlignment="1" applyProtection="1">
      <alignment horizontal="center" vertical="center"/>
      <protection locked="0"/>
    </xf>
    <xf numFmtId="0" fontId="10" fillId="3" borderId="21" xfId="5" applyFont="1" applyFill="1" applyBorder="1" applyAlignment="1" applyProtection="1">
      <alignment horizontal="center" vertical="center"/>
      <protection locked="0"/>
    </xf>
    <xf numFmtId="0" fontId="10" fillId="0" borderId="18" xfId="5" applyFont="1" applyBorder="1" applyAlignment="1" applyProtection="1">
      <alignment horizontal="center" vertical="center"/>
      <protection locked="0"/>
    </xf>
    <xf numFmtId="0" fontId="10" fillId="0" borderId="19" xfId="5" applyFont="1" applyBorder="1" applyAlignment="1" applyProtection="1">
      <alignment horizontal="center" vertical="center"/>
      <protection locked="0"/>
    </xf>
    <xf numFmtId="168" fontId="10" fillId="0" borderId="0" xfId="1" applyFont="1" applyBorder="1" applyProtection="1">
      <protection locked="0"/>
    </xf>
    <xf numFmtId="0" fontId="10" fillId="0" borderId="0" xfId="5" quotePrefix="1" applyFont="1" applyAlignment="1" applyProtection="1">
      <alignment vertical="center"/>
      <protection locked="0"/>
    </xf>
    <xf numFmtId="0" fontId="10" fillId="0" borderId="0" xfId="5" applyFont="1" applyAlignment="1" applyProtection="1">
      <alignment horizontal="center" vertical="center"/>
      <protection locked="0"/>
    </xf>
    <xf numFmtId="0" fontId="24" fillId="0" borderId="0" xfId="5" applyFont="1" applyAlignment="1" applyProtection="1">
      <alignment horizontal="center" vertical="center"/>
      <protection locked="0"/>
    </xf>
    <xf numFmtId="0" fontId="24" fillId="0" borderId="0" xfId="5" quotePrefix="1" applyFont="1" applyAlignment="1" applyProtection="1">
      <alignment horizontal="center" vertical="center"/>
      <protection locked="0"/>
    </xf>
    <xf numFmtId="168" fontId="25" fillId="0" borderId="23" xfId="1" applyFont="1" applyBorder="1" applyAlignment="1" applyProtection="1">
      <alignment horizontal="left"/>
      <protection locked="0"/>
    </xf>
    <xf numFmtId="168" fontId="25" fillId="0" borderId="45" xfId="1" applyFont="1" applyBorder="1" applyAlignment="1" applyProtection="1">
      <alignment horizontal="left"/>
      <protection locked="0"/>
    </xf>
    <xf numFmtId="167" fontId="10" fillId="0" borderId="46" xfId="5" applyNumberFormat="1" applyFont="1" applyBorder="1" applyAlignment="1" applyProtection="1">
      <alignment horizontal="center" vertical="center"/>
      <protection locked="0"/>
    </xf>
    <xf numFmtId="167" fontId="10" fillId="0" borderId="0" xfId="5" applyNumberFormat="1" applyFont="1" applyProtection="1">
      <protection locked="0"/>
    </xf>
    <xf numFmtId="174" fontId="10" fillId="0" borderId="0" xfId="1" applyNumberFormat="1" applyFont="1" applyProtection="1">
      <protection locked="0"/>
    </xf>
    <xf numFmtId="169" fontId="10" fillId="0" borderId="0" xfId="6" applyFont="1" applyFill="1" applyBorder="1" applyAlignment="1" applyProtection="1">
      <alignment vertical="center"/>
      <protection locked="0"/>
    </xf>
    <xf numFmtId="0" fontId="25" fillId="3" borderId="5" xfId="5" applyFont="1" applyFill="1" applyBorder="1" applyAlignment="1" applyProtection="1">
      <alignment horizontal="center" vertical="center" wrapText="1"/>
      <protection locked="0"/>
    </xf>
    <xf numFmtId="0" fontId="25" fillId="3" borderId="9" xfId="5" applyFont="1" applyFill="1" applyBorder="1" applyAlignment="1" applyProtection="1">
      <alignment horizontal="center" vertical="center" wrapText="1"/>
      <protection locked="0"/>
    </xf>
    <xf numFmtId="0" fontId="25" fillId="3" borderId="47" xfId="5" applyFont="1" applyFill="1" applyBorder="1" applyAlignment="1" applyProtection="1">
      <alignment horizontal="center" vertical="center" wrapText="1"/>
      <protection locked="0"/>
    </xf>
    <xf numFmtId="0" fontId="25" fillId="3" borderId="8" xfId="5" applyFont="1" applyFill="1" applyBorder="1" applyAlignment="1" applyProtection="1">
      <alignment horizontal="center" vertical="center" wrapText="1"/>
      <protection locked="0"/>
    </xf>
    <xf numFmtId="3" fontId="10" fillId="0" borderId="11" xfId="5" applyNumberFormat="1" applyFont="1" applyBorder="1" applyAlignment="1" applyProtection="1">
      <alignment vertical="center"/>
      <protection locked="0"/>
    </xf>
    <xf numFmtId="3" fontId="10" fillId="0" borderId="12" xfId="5" applyNumberFormat="1" applyFont="1" applyBorder="1" applyAlignment="1" applyProtection="1">
      <alignment vertical="center"/>
      <protection locked="0"/>
    </xf>
    <xf numFmtId="3" fontId="10" fillId="0" borderId="12" xfId="6" applyNumberFormat="1" applyFont="1" applyFill="1" applyBorder="1" applyAlignment="1" applyProtection="1">
      <alignment vertical="center"/>
      <protection locked="0"/>
    </xf>
    <xf numFmtId="9" fontId="10" fillId="0" borderId="12" xfId="3" applyFont="1" applyFill="1" applyBorder="1" applyAlignment="1" applyProtection="1">
      <alignment vertical="center"/>
      <protection locked="0"/>
    </xf>
    <xf numFmtId="0" fontId="29" fillId="0" borderId="34" xfId="5" applyFont="1" applyBorder="1" applyProtection="1">
      <protection locked="0"/>
    </xf>
    <xf numFmtId="177" fontId="29" fillId="0" borderId="34" xfId="7" applyNumberFormat="1" applyFont="1" applyFill="1" applyBorder="1" applyProtection="1">
      <protection locked="0"/>
    </xf>
    <xf numFmtId="0" fontId="23" fillId="0" borderId="34" xfId="5" applyFont="1" applyBorder="1" applyProtection="1">
      <protection locked="0"/>
    </xf>
    <xf numFmtId="171" fontId="23" fillId="0" borderId="34" xfId="7" applyNumberFormat="1" applyFont="1" applyFill="1" applyBorder="1" applyProtection="1">
      <protection locked="0"/>
    </xf>
    <xf numFmtId="3" fontId="10" fillId="0" borderId="18" xfId="5" applyNumberFormat="1" applyFont="1" applyBorder="1" applyAlignment="1" applyProtection="1">
      <alignment vertical="center"/>
      <protection locked="0"/>
    </xf>
    <xf numFmtId="3" fontId="10" fillId="0" borderId="19" xfId="5" applyNumberFormat="1" applyFont="1" applyBorder="1" applyAlignment="1" applyProtection="1">
      <alignment vertical="center"/>
      <protection locked="0"/>
    </xf>
    <xf numFmtId="3" fontId="10" fillId="0" borderId="19" xfId="6" applyNumberFormat="1" applyFont="1" applyFill="1" applyBorder="1" applyAlignment="1" applyProtection="1">
      <alignment vertical="center"/>
      <protection locked="0"/>
    </xf>
    <xf numFmtId="9" fontId="10" fillId="0" borderId="19" xfId="3" applyFont="1" applyFill="1" applyBorder="1" applyAlignment="1" applyProtection="1">
      <alignment vertical="center"/>
      <protection locked="0"/>
    </xf>
    <xf numFmtId="3" fontId="10" fillId="4" borderId="19" xfId="6" applyNumberFormat="1" applyFont="1" applyFill="1" applyBorder="1" applyAlignment="1" applyProtection="1">
      <alignment vertical="center"/>
      <protection hidden="1"/>
    </xf>
    <xf numFmtId="9" fontId="10" fillId="4" borderId="19" xfId="3" applyFont="1" applyFill="1" applyBorder="1" applyAlignment="1" applyProtection="1">
      <alignment vertical="center"/>
      <protection hidden="1"/>
    </xf>
    <xf numFmtId="3" fontId="10" fillId="4" borderId="19" xfId="5" applyNumberFormat="1" applyFont="1" applyFill="1" applyBorder="1" applyAlignment="1" applyProtection="1">
      <alignment vertical="center"/>
      <protection hidden="1"/>
    </xf>
    <xf numFmtId="3" fontId="10" fillId="4" borderId="36" xfId="3" applyNumberFormat="1" applyFont="1" applyFill="1" applyBorder="1" applyAlignment="1" applyProtection="1">
      <alignment vertical="center"/>
      <protection hidden="1"/>
    </xf>
    <xf numFmtId="3" fontId="10" fillId="0" borderId="0" xfId="5" applyNumberFormat="1" applyFont="1" applyAlignment="1" applyProtection="1">
      <alignment vertical="center"/>
      <protection locked="0"/>
    </xf>
    <xf numFmtId="0" fontId="25" fillId="3" borderId="31" xfId="5" applyFont="1" applyFill="1" applyBorder="1" applyAlignment="1" applyProtection="1">
      <alignment vertical="center"/>
      <protection locked="0"/>
    </xf>
    <xf numFmtId="0" fontId="25" fillId="3" borderId="32" xfId="5" applyFont="1" applyFill="1" applyBorder="1" applyAlignment="1" applyProtection="1">
      <alignment vertical="center"/>
      <protection locked="0"/>
    </xf>
    <xf numFmtId="172" fontId="25" fillId="3" borderId="33" xfId="6" applyNumberFormat="1" applyFont="1" applyFill="1" applyBorder="1" applyAlignment="1" applyProtection="1">
      <alignment vertical="center"/>
      <protection hidden="1"/>
    </xf>
    <xf numFmtId="0" fontId="10" fillId="0" borderId="11" xfId="5" applyFont="1" applyBorder="1" applyAlignment="1" applyProtection="1">
      <alignment vertical="center"/>
      <protection locked="0"/>
    </xf>
    <xf numFmtId="0" fontId="10" fillId="0" borderId="12" xfId="5" applyFont="1" applyBorder="1" applyAlignment="1" applyProtection="1">
      <alignment vertical="center"/>
      <protection locked="0"/>
    </xf>
    <xf numFmtId="0" fontId="3" fillId="0" borderId="11" xfId="5" applyFont="1" applyBorder="1" applyAlignment="1" applyProtection="1">
      <alignment horizontal="left"/>
      <protection locked="0"/>
    </xf>
    <xf numFmtId="0" fontId="3" fillId="0" borderId="12" xfId="5" applyFont="1" applyBorder="1" applyAlignment="1" applyProtection="1">
      <alignment horizontal="left"/>
      <protection locked="0"/>
    </xf>
    <xf numFmtId="0" fontId="3" fillId="0" borderId="17" xfId="5" applyFont="1" applyBorder="1" applyAlignment="1" applyProtection="1">
      <alignment horizontal="left"/>
      <protection locked="0"/>
    </xf>
    <xf numFmtId="178" fontId="10" fillId="0" borderId="0" xfId="7" applyNumberFormat="1" applyFont="1" applyProtection="1">
      <protection locked="0"/>
    </xf>
    <xf numFmtId="0" fontId="25" fillId="3" borderId="18" xfId="5" applyFont="1" applyFill="1" applyBorder="1" applyProtection="1">
      <protection locked="0"/>
    </xf>
    <xf numFmtId="0" fontId="25" fillId="3" borderId="19" xfId="5" applyFont="1" applyFill="1" applyBorder="1" applyProtection="1">
      <protection locked="0"/>
    </xf>
    <xf numFmtId="172" fontId="25" fillId="3" borderId="36" xfId="5" applyNumberFormat="1" applyFont="1" applyFill="1" applyBorder="1" applyProtection="1">
      <protection hidden="1"/>
    </xf>
    <xf numFmtId="0" fontId="23" fillId="0" borderId="0" xfId="5" applyFont="1" applyAlignment="1" applyProtection="1">
      <alignment wrapText="1"/>
      <protection locked="0"/>
    </xf>
    <xf numFmtId="0" fontId="24" fillId="0" borderId="0" xfId="5" applyFont="1" applyAlignment="1" applyProtection="1">
      <alignment wrapText="1"/>
      <protection locked="0"/>
    </xf>
    <xf numFmtId="174" fontId="23" fillId="0" borderId="0" xfId="1" applyNumberFormat="1" applyFont="1" applyProtection="1">
      <protection locked="0"/>
    </xf>
    <xf numFmtId="14" fontId="23" fillId="0" borderId="0" xfId="1" applyNumberFormat="1" applyFont="1" applyProtection="1">
      <protection locked="0"/>
    </xf>
    <xf numFmtId="0" fontId="30" fillId="0" borderId="41" xfId="5" applyFont="1" applyBorder="1" applyAlignment="1" applyProtection="1">
      <alignment horizontal="left" vertical="center" wrapText="1"/>
      <protection locked="0"/>
    </xf>
    <xf numFmtId="0" fontId="16" fillId="0" borderId="4" xfId="5" applyFont="1" applyBorder="1" applyAlignment="1" applyProtection="1">
      <alignment horizontal="left" vertical="center" wrapText="1"/>
      <protection locked="0"/>
    </xf>
    <xf numFmtId="0" fontId="16" fillId="0" borderId="28" xfId="5" applyFont="1" applyBorder="1" applyAlignment="1" applyProtection="1">
      <alignment horizontal="left" vertical="center" wrapText="1"/>
      <protection locked="0"/>
    </xf>
    <xf numFmtId="0" fontId="16" fillId="0" borderId="42" xfId="5" applyFont="1" applyBorder="1" applyAlignment="1" applyProtection="1">
      <alignment horizontal="left" vertical="center" wrapText="1"/>
      <protection locked="0"/>
    </xf>
    <xf numFmtId="0" fontId="16" fillId="0" borderId="43" xfId="5" applyFont="1" applyBorder="1" applyAlignment="1" applyProtection="1">
      <alignment horizontal="left" vertical="center" wrapText="1"/>
      <protection locked="0"/>
    </xf>
    <xf numFmtId="0" fontId="16" fillId="0" borderId="44" xfId="5" applyFont="1" applyBorder="1" applyAlignment="1" applyProtection="1">
      <alignment horizontal="left" vertical="center" wrapText="1"/>
      <protection locked="0"/>
    </xf>
    <xf numFmtId="2" fontId="23" fillId="0" borderId="0" xfId="1" applyNumberFormat="1" applyFont="1" applyProtection="1">
      <protection locked="0"/>
    </xf>
    <xf numFmtId="171" fontId="23" fillId="0" borderId="0" xfId="7" applyNumberFormat="1" applyFont="1" applyFill="1" applyBorder="1" applyProtection="1">
      <protection locked="0"/>
    </xf>
    <xf numFmtId="0" fontId="16" fillId="0" borderId="41" xfId="5" applyFont="1" applyBorder="1" applyAlignment="1" applyProtection="1">
      <alignment horizontal="justify" vertical="justify" wrapText="1"/>
      <protection locked="0"/>
    </xf>
    <xf numFmtId="0" fontId="23" fillId="0" borderId="4" xfId="5" applyFont="1" applyBorder="1" applyAlignment="1" applyProtection="1">
      <alignment horizontal="justify" vertical="justify"/>
      <protection locked="0"/>
    </xf>
    <xf numFmtId="0" fontId="23" fillId="0" borderId="28" xfId="5" applyFont="1" applyBorder="1" applyAlignment="1" applyProtection="1">
      <alignment horizontal="justify" vertical="justify"/>
      <protection locked="0"/>
    </xf>
    <xf numFmtId="0" fontId="23" fillId="0" borderId="48" xfId="5" applyFont="1" applyBorder="1" applyAlignment="1" applyProtection="1">
      <alignment horizontal="justify" vertical="justify"/>
      <protection locked="0"/>
    </xf>
    <xf numFmtId="0" fontId="23" fillId="0" borderId="0" xfId="5" applyFont="1" applyAlignment="1" applyProtection="1">
      <alignment horizontal="justify" vertical="justify"/>
      <protection locked="0"/>
    </xf>
    <xf numFmtId="0" fontId="23" fillId="0" borderId="49" xfId="5" applyFont="1" applyBorder="1" applyAlignment="1" applyProtection="1">
      <alignment horizontal="justify" vertical="justify"/>
      <protection locked="0"/>
    </xf>
    <xf numFmtId="0" fontId="23" fillId="0" borderId="42" xfId="5" applyFont="1" applyBorder="1" applyAlignment="1" applyProtection="1">
      <alignment horizontal="justify" vertical="justify"/>
      <protection locked="0"/>
    </xf>
    <xf numFmtId="0" fontId="23" fillId="0" borderId="43" xfId="5" applyFont="1" applyBorder="1" applyAlignment="1" applyProtection="1">
      <alignment horizontal="justify" vertical="justify"/>
      <protection locked="0"/>
    </xf>
    <xf numFmtId="0" fontId="23" fillId="0" borderId="44" xfId="5" applyFont="1" applyBorder="1" applyAlignment="1" applyProtection="1">
      <alignment horizontal="justify" vertical="justify"/>
      <protection locked="0"/>
    </xf>
    <xf numFmtId="0" fontId="23" fillId="0" borderId="0" xfId="5" applyFont="1" applyAlignment="1" applyProtection="1">
      <alignment horizontal="justify" vertical="justify"/>
      <protection locked="0"/>
    </xf>
    <xf numFmtId="0" fontId="27" fillId="6" borderId="41" xfId="5" applyFont="1" applyFill="1" applyBorder="1" applyProtection="1">
      <protection locked="0"/>
    </xf>
    <xf numFmtId="0" fontId="23" fillId="6" borderId="4" xfId="5" applyFont="1" applyFill="1" applyBorder="1" applyAlignment="1" applyProtection="1">
      <alignment horizontal="justify" vertical="justify"/>
      <protection locked="0"/>
    </xf>
    <xf numFmtId="0" fontId="23" fillId="6" borderId="28" xfId="5" applyFont="1" applyFill="1" applyBorder="1" applyAlignment="1" applyProtection="1">
      <alignment horizontal="justify" vertical="justify"/>
      <protection locked="0"/>
    </xf>
    <xf numFmtId="0" fontId="23" fillId="6" borderId="42" xfId="5" applyFont="1" applyFill="1" applyBorder="1" applyProtection="1">
      <protection locked="0"/>
    </xf>
    <xf numFmtId="174" fontId="23" fillId="6" borderId="43" xfId="1" applyNumberFormat="1" applyFont="1" applyFill="1" applyBorder="1" applyProtection="1">
      <protection locked="0"/>
    </xf>
    <xf numFmtId="2" fontId="23" fillId="6" borderId="43" xfId="1" applyNumberFormat="1" applyFont="1" applyFill="1" applyBorder="1" applyProtection="1">
      <protection locked="0"/>
    </xf>
    <xf numFmtId="174" fontId="23" fillId="6" borderId="44" xfId="1" applyNumberFormat="1" applyFont="1" applyFill="1" applyBorder="1" applyProtection="1">
      <protection locked="0"/>
    </xf>
    <xf numFmtId="171" fontId="23" fillId="0" borderId="34" xfId="5" applyNumberFormat="1" applyFont="1" applyBorder="1" applyProtection="1">
      <protection locked="0"/>
    </xf>
    <xf numFmtId="170" fontId="24" fillId="0" borderId="0" xfId="7" applyFont="1" applyProtection="1">
      <protection locked="0"/>
    </xf>
    <xf numFmtId="2" fontId="24" fillId="0" borderId="0" xfId="7" applyNumberFormat="1" applyFont="1" applyProtection="1">
      <protection locked="0"/>
    </xf>
    <xf numFmtId="2" fontId="24" fillId="0" borderId="0" xfId="1" applyNumberFormat="1" applyFont="1" applyProtection="1">
      <protection locked="0"/>
    </xf>
    <xf numFmtId="174" fontId="24" fillId="0" borderId="0" xfId="1" applyNumberFormat="1" applyFont="1" applyProtection="1">
      <protection locked="0"/>
    </xf>
    <xf numFmtId="171" fontId="23" fillId="0" borderId="0" xfId="5" applyNumberFormat="1" applyFont="1" applyProtection="1">
      <protection locked="0"/>
    </xf>
    <xf numFmtId="2" fontId="24" fillId="0" borderId="0" xfId="5" applyNumberFormat="1" applyFont="1" applyProtection="1">
      <protection locked="0"/>
    </xf>
    <xf numFmtId="0" fontId="31" fillId="0" borderId="0" xfId="5" applyFont="1" applyProtection="1">
      <protection locked="0"/>
    </xf>
    <xf numFmtId="0" fontId="32" fillId="0" borderId="0" xfId="5" applyFont="1" applyAlignment="1" applyProtection="1">
      <alignment vertical="center"/>
      <protection locked="0"/>
    </xf>
    <xf numFmtId="0" fontId="32" fillId="0" borderId="1" xfId="5" applyFont="1" applyBorder="1" applyAlignment="1" applyProtection="1">
      <alignment horizontal="center" vertical="center"/>
      <protection locked="0"/>
    </xf>
    <xf numFmtId="0" fontId="32" fillId="0" borderId="2" xfId="5" applyFont="1" applyBorder="1" applyAlignment="1" applyProtection="1">
      <alignment horizontal="center" vertical="center"/>
      <protection locked="0"/>
    </xf>
    <xf numFmtId="0" fontId="32" fillId="0" borderId="3" xfId="5" applyFont="1" applyBorder="1" applyAlignment="1" applyProtection="1">
      <alignment horizontal="center" vertical="center"/>
      <protection locked="0"/>
    </xf>
    <xf numFmtId="0" fontId="32" fillId="0" borderId="0" xfId="5" applyFont="1" applyAlignment="1" applyProtection="1">
      <alignment horizontal="center" vertical="center"/>
      <protection locked="0"/>
    </xf>
    <xf numFmtId="0" fontId="32" fillId="0" borderId="0" xfId="5" quotePrefix="1" applyFont="1" applyAlignment="1" applyProtection="1">
      <alignment vertical="center"/>
      <protection locked="0"/>
    </xf>
    <xf numFmtId="0" fontId="32" fillId="0" borderId="0" xfId="5" applyFont="1" applyProtection="1">
      <protection locked="0"/>
    </xf>
    <xf numFmtId="0" fontId="31" fillId="0" borderId="0" xfId="5" applyFont="1" applyAlignment="1" applyProtection="1">
      <alignment vertical="center"/>
      <protection locked="0"/>
    </xf>
    <xf numFmtId="0" fontId="32" fillId="0" borderId="5" xfId="5" applyFont="1" applyBorder="1" applyAlignment="1" applyProtection="1">
      <alignment horizontal="left"/>
      <protection locked="0"/>
    </xf>
    <xf numFmtId="0" fontId="32" fillId="0" borderId="9" xfId="5" applyFont="1" applyBorder="1" applyAlignment="1" applyProtection="1">
      <alignment horizontal="left"/>
      <protection locked="0"/>
    </xf>
    <xf numFmtId="0" fontId="5" fillId="3" borderId="6" xfId="4" quotePrefix="1" applyFont="1" applyFill="1" applyBorder="1" applyAlignment="1" applyProtection="1">
      <alignment horizontal="center" vertical="center"/>
      <protection locked="0"/>
    </xf>
    <xf numFmtId="0" fontId="4" fillId="0" borderId="6" xfId="5" applyFont="1" applyBorder="1" applyAlignment="1" applyProtection="1">
      <alignment horizontal="center" vertical="center"/>
      <protection locked="0"/>
    </xf>
    <xf numFmtId="0" fontId="4" fillId="0" borderId="7" xfId="5" applyFont="1" applyBorder="1" applyAlignment="1" applyProtection="1">
      <alignment horizontal="center" vertical="center"/>
      <protection locked="0"/>
    </xf>
    <xf numFmtId="0" fontId="4" fillId="0" borderId="8" xfId="5" applyFont="1" applyBorder="1" applyAlignment="1" applyProtection="1">
      <alignment horizontal="center" vertical="center"/>
      <protection locked="0"/>
    </xf>
    <xf numFmtId="0" fontId="32" fillId="0" borderId="5" xfId="5" applyFont="1" applyBorder="1" applyAlignment="1" applyProtection="1">
      <alignment horizontal="center"/>
      <protection locked="0"/>
    </xf>
    <xf numFmtId="0" fontId="32" fillId="0" borderId="9" xfId="5" applyFont="1" applyBorder="1" applyAlignment="1" applyProtection="1">
      <alignment horizontal="center"/>
      <protection locked="0"/>
    </xf>
    <xf numFmtId="0" fontId="32" fillId="0" borderId="10" xfId="5" applyFont="1" applyBorder="1" applyAlignment="1" applyProtection="1">
      <alignment horizontal="center"/>
      <protection locked="0"/>
    </xf>
    <xf numFmtId="0" fontId="31" fillId="0" borderId="0" xfId="5" applyFont="1" applyAlignment="1" applyProtection="1">
      <alignment horizontal="center"/>
      <protection locked="0"/>
    </xf>
    <xf numFmtId="0" fontId="31" fillId="0" borderId="0" xfId="5" quotePrefix="1" applyFont="1" applyAlignment="1" applyProtection="1">
      <alignment vertical="center"/>
      <protection locked="0"/>
    </xf>
    <xf numFmtId="0" fontId="32" fillId="0" borderId="11" xfId="5" applyFont="1" applyBorder="1" applyAlignment="1" applyProtection="1">
      <alignment horizontal="left" vertical="center"/>
      <protection locked="0"/>
    </xf>
    <xf numFmtId="0" fontId="32" fillId="0" borderId="12" xfId="5" applyFont="1" applyBorder="1" applyAlignment="1" applyProtection="1">
      <alignment horizontal="left" vertical="center"/>
      <protection locked="0"/>
    </xf>
    <xf numFmtId="0" fontId="31" fillId="3" borderId="16" xfId="5" applyFont="1" applyFill="1" applyBorder="1" applyAlignment="1" applyProtection="1">
      <alignment horizontal="center"/>
      <protection locked="0"/>
    </xf>
    <xf numFmtId="0" fontId="31" fillId="3" borderId="14" xfId="5" applyFont="1" applyFill="1" applyBorder="1" applyAlignment="1" applyProtection="1">
      <alignment horizontal="center"/>
      <protection locked="0"/>
    </xf>
    <xf numFmtId="0" fontId="31" fillId="3" borderId="15" xfId="5" applyFont="1" applyFill="1" applyBorder="1" applyAlignment="1" applyProtection="1">
      <alignment horizontal="center"/>
      <protection locked="0"/>
    </xf>
    <xf numFmtId="0" fontId="4" fillId="0" borderId="13" xfId="5" applyFont="1" applyBorder="1" applyAlignment="1" applyProtection="1">
      <alignment horizontal="center" vertical="center"/>
      <protection locked="0"/>
    </xf>
    <xf numFmtId="0" fontId="4" fillId="0" borderId="14" xfId="5" applyFont="1" applyBorder="1" applyAlignment="1" applyProtection="1">
      <alignment horizontal="center" vertical="center"/>
      <protection locked="0"/>
    </xf>
    <xf numFmtId="0" fontId="4" fillId="0" borderId="15" xfId="5" applyFont="1" applyBorder="1" applyAlignment="1" applyProtection="1">
      <alignment horizontal="center" vertical="center"/>
      <protection locked="0"/>
    </xf>
    <xf numFmtId="0" fontId="32" fillId="0" borderId="11" xfId="5" applyFont="1" applyBorder="1" applyAlignment="1" applyProtection="1">
      <alignment horizontal="center" vertical="center"/>
      <protection locked="0"/>
    </xf>
    <xf numFmtId="0" fontId="32" fillId="0" borderId="12" xfId="5" applyFont="1" applyBorder="1" applyAlignment="1" applyProtection="1">
      <alignment horizontal="center" vertical="center"/>
      <protection locked="0"/>
    </xf>
    <xf numFmtId="0" fontId="32" fillId="0" borderId="17" xfId="5" applyFont="1" applyBorder="1" applyAlignment="1" applyProtection="1">
      <alignment horizontal="center"/>
      <protection locked="0"/>
    </xf>
    <xf numFmtId="0" fontId="31" fillId="3" borderId="12" xfId="5" applyFont="1" applyFill="1" applyBorder="1" applyAlignment="1" applyProtection="1">
      <alignment vertical="center"/>
      <protection locked="0"/>
    </xf>
    <xf numFmtId="176" fontId="31" fillId="3" borderId="12" xfId="3" applyNumberFormat="1" applyFont="1" applyFill="1" applyBorder="1" applyAlignment="1" applyProtection="1">
      <alignment vertical="center"/>
      <protection locked="0"/>
    </xf>
    <xf numFmtId="166" fontId="31" fillId="3" borderId="12" xfId="5" quotePrefix="1" applyNumberFormat="1" applyFont="1" applyFill="1" applyBorder="1" applyAlignment="1" applyProtection="1">
      <alignment vertical="center"/>
      <protection locked="0"/>
    </xf>
    <xf numFmtId="167" fontId="31" fillId="3" borderId="17" xfId="5" quotePrefix="1" applyNumberFormat="1" applyFont="1" applyFill="1" applyBorder="1" applyAlignment="1" applyProtection="1">
      <alignment vertical="center"/>
      <protection locked="0"/>
    </xf>
    <xf numFmtId="1" fontId="31" fillId="0" borderId="0" xfId="5" applyNumberFormat="1" applyFont="1" applyAlignment="1" applyProtection="1">
      <alignment horizontal="center" vertical="center"/>
      <protection locked="0"/>
    </xf>
    <xf numFmtId="167" fontId="31" fillId="4" borderId="12" xfId="5" applyNumberFormat="1" applyFont="1" applyFill="1" applyBorder="1" applyProtection="1">
      <protection hidden="1"/>
    </xf>
    <xf numFmtId="167" fontId="31" fillId="4" borderId="17" xfId="5" applyNumberFormat="1" applyFont="1" applyFill="1" applyBorder="1" applyProtection="1">
      <protection hidden="1"/>
    </xf>
    <xf numFmtId="0" fontId="32" fillId="0" borderId="18" xfId="5" applyFont="1" applyBorder="1" applyAlignment="1" applyProtection="1">
      <alignment horizontal="left" vertical="center"/>
      <protection locked="0"/>
    </xf>
    <xf numFmtId="0" fontId="32" fillId="0" borderId="19" xfId="5" quotePrefix="1" applyFont="1" applyBorder="1" applyAlignment="1" applyProtection="1">
      <alignment horizontal="left" vertical="center"/>
      <protection locked="0"/>
    </xf>
    <xf numFmtId="0" fontId="31" fillId="0" borderId="18" xfId="5" applyFont="1" applyBorder="1" applyAlignment="1" applyProtection="1">
      <alignment horizontal="center" vertical="center"/>
      <protection locked="0"/>
    </xf>
    <xf numFmtId="0" fontId="31" fillId="0" borderId="19" xfId="5" applyFont="1" applyBorder="1" applyAlignment="1" applyProtection="1">
      <alignment horizontal="center" vertical="center"/>
      <protection locked="0"/>
    </xf>
    <xf numFmtId="179" fontId="31" fillId="4" borderId="20" xfId="5" applyNumberFormat="1" applyFont="1" applyFill="1" applyBorder="1" applyAlignment="1" applyProtection="1">
      <alignment horizontal="center"/>
      <protection hidden="1"/>
    </xf>
    <xf numFmtId="179" fontId="31" fillId="4" borderId="21" xfId="5" applyNumberFormat="1" applyFont="1" applyFill="1" applyBorder="1" applyAlignment="1" applyProtection="1">
      <alignment horizontal="center"/>
      <protection hidden="1"/>
    </xf>
    <xf numFmtId="179" fontId="31" fillId="4" borderId="22" xfId="5" applyNumberFormat="1" applyFont="1" applyFill="1" applyBorder="1" applyAlignment="1" applyProtection="1">
      <alignment horizontal="center"/>
      <protection hidden="1"/>
    </xf>
    <xf numFmtId="168" fontId="31" fillId="0" borderId="0" xfId="1" applyFont="1" applyBorder="1" applyProtection="1">
      <protection locked="0"/>
    </xf>
    <xf numFmtId="0" fontId="31" fillId="0" borderId="0" xfId="5" applyFont="1" applyAlignment="1" applyProtection="1">
      <alignment horizontal="center" vertical="center"/>
      <protection locked="0"/>
    </xf>
    <xf numFmtId="0" fontId="31" fillId="0" borderId="0" xfId="5" quotePrefix="1" applyFont="1" applyAlignment="1" applyProtection="1">
      <alignment horizontal="center" vertical="center"/>
      <protection locked="0"/>
    </xf>
    <xf numFmtId="168" fontId="32" fillId="0" borderId="23" xfId="1" applyFont="1" applyBorder="1" applyAlignment="1" applyProtection="1">
      <alignment horizontal="left"/>
      <protection locked="0"/>
    </xf>
    <xf numFmtId="168" fontId="32" fillId="0" borderId="45" xfId="1" applyFont="1" applyBorder="1" applyAlignment="1" applyProtection="1">
      <alignment horizontal="left"/>
      <protection locked="0"/>
    </xf>
    <xf numFmtId="42" fontId="3" fillId="5" borderId="25" xfId="9" applyFont="1" applyFill="1" applyBorder="1" applyAlignment="1" applyProtection="1">
      <alignment horizontal="right" vertical="center"/>
      <protection locked="0"/>
    </xf>
    <xf numFmtId="6" fontId="0" fillId="0" borderId="0" xfId="0" applyNumberFormat="1"/>
    <xf numFmtId="168" fontId="3" fillId="0" borderId="1" xfId="5" applyNumberFormat="1" applyFont="1" applyBorder="1" applyProtection="1">
      <protection locked="0"/>
    </xf>
    <xf numFmtId="168" fontId="3" fillId="0" borderId="25" xfId="5" applyNumberFormat="1" applyFont="1" applyBorder="1" applyProtection="1">
      <protection locked="0"/>
    </xf>
    <xf numFmtId="168" fontId="3" fillId="0" borderId="1" xfId="5" applyNumberFormat="1" applyFont="1" applyBorder="1" applyAlignment="1" applyProtection="1">
      <alignment horizontal="center"/>
      <protection locked="0"/>
    </xf>
    <xf numFmtId="168" fontId="3" fillId="0" borderId="3" xfId="5" applyNumberFormat="1" applyFont="1" applyBorder="1" applyAlignment="1" applyProtection="1">
      <alignment horizontal="center"/>
      <protection locked="0"/>
    </xf>
    <xf numFmtId="169" fontId="31" fillId="0" borderId="0" xfId="6" applyFont="1" applyFill="1" applyBorder="1" applyAlignment="1" applyProtection="1">
      <alignment vertical="center"/>
      <protection locked="0"/>
    </xf>
    <xf numFmtId="0" fontId="33" fillId="3" borderId="5" xfId="5" applyFont="1" applyFill="1" applyBorder="1" applyAlignment="1" applyProtection="1">
      <alignment horizontal="center" vertical="center" wrapText="1"/>
      <protection locked="0"/>
    </xf>
    <xf numFmtId="0" fontId="33" fillId="3" borderId="9" xfId="5" applyFont="1" applyFill="1" applyBorder="1" applyAlignment="1" applyProtection="1">
      <alignment horizontal="center" vertical="center" wrapText="1"/>
      <protection locked="0"/>
    </xf>
    <xf numFmtId="0" fontId="33" fillId="3" borderId="47" xfId="5" applyFont="1" applyFill="1" applyBorder="1" applyAlignment="1" applyProtection="1">
      <alignment horizontal="center" vertical="center" wrapText="1"/>
      <protection locked="0"/>
    </xf>
    <xf numFmtId="0" fontId="33" fillId="3" borderId="8" xfId="5" applyFont="1" applyFill="1" applyBorder="1" applyAlignment="1" applyProtection="1">
      <alignment horizontal="center" vertical="center" wrapText="1"/>
      <protection locked="0"/>
    </xf>
    <xf numFmtId="3" fontId="31" fillId="0" borderId="11" xfId="5" applyNumberFormat="1" applyFont="1" applyBorder="1" applyAlignment="1" applyProtection="1">
      <alignment vertical="center"/>
      <protection locked="0"/>
    </xf>
    <xf numFmtId="3" fontId="3" fillId="4" borderId="12" xfId="5" applyNumberFormat="1" applyFont="1" applyFill="1" applyBorder="1" applyAlignment="1" applyProtection="1">
      <alignment vertical="center"/>
      <protection hidden="1"/>
    </xf>
    <xf numFmtId="3" fontId="3" fillId="4" borderId="17" xfId="3" applyNumberFormat="1" applyFont="1" applyFill="1" applyBorder="1" applyAlignment="1" applyProtection="1">
      <alignment vertical="center"/>
      <protection hidden="1"/>
    </xf>
    <xf numFmtId="3" fontId="31" fillId="0" borderId="12" xfId="6" applyNumberFormat="1" applyFont="1" applyFill="1" applyBorder="1" applyAlignment="1" applyProtection="1">
      <alignment vertical="center"/>
      <protection locked="0"/>
    </xf>
    <xf numFmtId="3" fontId="31" fillId="0" borderId="12" xfId="5" applyNumberFormat="1" applyFont="1" applyBorder="1" applyAlignment="1" applyProtection="1">
      <alignment vertical="center"/>
      <protection locked="0"/>
    </xf>
    <xf numFmtId="9" fontId="31" fillId="0" borderId="12" xfId="3" applyFont="1" applyFill="1" applyBorder="1" applyAlignment="1" applyProtection="1">
      <alignment vertical="center"/>
      <protection locked="0"/>
    </xf>
    <xf numFmtId="3" fontId="31" fillId="4" borderId="12" xfId="6" applyNumberFormat="1" applyFont="1" applyFill="1" applyBorder="1" applyAlignment="1" applyProtection="1">
      <alignment vertical="center"/>
      <protection hidden="1"/>
    </xf>
    <xf numFmtId="9" fontId="31" fillId="4" borderId="12" xfId="3" applyFont="1" applyFill="1" applyBorder="1" applyAlignment="1" applyProtection="1">
      <alignment vertical="center"/>
      <protection hidden="1"/>
    </xf>
    <xf numFmtId="3" fontId="31" fillId="4" borderId="12" xfId="5" applyNumberFormat="1" applyFont="1" applyFill="1" applyBorder="1" applyAlignment="1" applyProtection="1">
      <alignment vertical="center"/>
      <protection hidden="1"/>
    </xf>
    <xf numFmtId="3" fontId="31" fillId="4" borderId="17" xfId="5" applyNumberFormat="1" applyFont="1" applyFill="1" applyBorder="1" applyAlignment="1" applyProtection="1">
      <alignment vertical="center"/>
      <protection hidden="1"/>
    </xf>
    <xf numFmtId="0" fontId="34" fillId="0" borderId="34" xfId="5" applyFont="1" applyBorder="1" applyProtection="1">
      <protection locked="0"/>
    </xf>
    <xf numFmtId="177" fontId="34" fillId="0" borderId="34" xfId="7" applyNumberFormat="1" applyFont="1" applyFill="1" applyBorder="1" applyProtection="1">
      <protection locked="0"/>
    </xf>
    <xf numFmtId="0" fontId="31" fillId="0" borderId="34" xfId="5" applyFont="1" applyBorder="1" applyProtection="1">
      <protection locked="0"/>
    </xf>
    <xf numFmtId="171" fontId="31" fillId="0" borderId="34" xfId="7" applyNumberFormat="1" applyFont="1" applyFill="1" applyBorder="1" applyProtection="1">
      <protection locked="0"/>
    </xf>
    <xf numFmtId="3" fontId="31" fillId="0" borderId="18" xfId="5" applyNumberFormat="1" applyFont="1" applyBorder="1" applyAlignment="1" applyProtection="1">
      <alignment vertical="center"/>
      <protection locked="0"/>
    </xf>
    <xf numFmtId="3" fontId="31" fillId="0" borderId="19" xfId="5" applyNumberFormat="1" applyFont="1" applyBorder="1" applyAlignment="1" applyProtection="1">
      <alignment vertical="center"/>
      <protection locked="0"/>
    </xf>
    <xf numFmtId="3" fontId="31" fillId="0" borderId="19" xfId="6" applyNumberFormat="1" applyFont="1" applyFill="1" applyBorder="1" applyAlignment="1" applyProtection="1">
      <alignment vertical="center"/>
      <protection locked="0"/>
    </xf>
    <xf numFmtId="9" fontId="31" fillId="0" borderId="19" xfId="3" applyFont="1" applyFill="1" applyBorder="1" applyAlignment="1" applyProtection="1">
      <alignment vertical="center"/>
      <protection locked="0"/>
    </xf>
    <xf numFmtId="3" fontId="31" fillId="4" borderId="19" xfId="6" applyNumberFormat="1" applyFont="1" applyFill="1" applyBorder="1" applyAlignment="1" applyProtection="1">
      <alignment vertical="center"/>
      <protection hidden="1"/>
    </xf>
    <xf numFmtId="9" fontId="31" fillId="4" borderId="19" xfId="3" applyFont="1" applyFill="1" applyBorder="1" applyAlignment="1" applyProtection="1">
      <alignment vertical="center"/>
      <protection hidden="1"/>
    </xf>
    <xf numFmtId="3" fontId="31" fillId="4" borderId="19" xfId="5" applyNumberFormat="1" applyFont="1" applyFill="1" applyBorder="1" applyAlignment="1" applyProtection="1">
      <alignment vertical="center"/>
      <protection hidden="1"/>
    </xf>
    <xf numFmtId="3" fontId="31" fillId="4" borderId="36" xfId="3" applyNumberFormat="1" applyFont="1" applyFill="1" applyBorder="1" applyAlignment="1" applyProtection="1">
      <alignment vertical="center"/>
      <protection hidden="1"/>
    </xf>
    <xf numFmtId="3" fontId="31" fillId="0" borderId="0" xfId="5" applyNumberFormat="1" applyFont="1" applyAlignment="1" applyProtection="1">
      <alignment vertical="center"/>
      <protection locked="0"/>
    </xf>
    <xf numFmtId="0" fontId="33" fillId="3" borderId="31" xfId="5" applyFont="1" applyFill="1" applyBorder="1" applyAlignment="1" applyProtection="1">
      <alignment vertical="center"/>
      <protection locked="0"/>
    </xf>
    <xf numFmtId="0" fontId="33" fillId="3" borderId="32" xfId="5" applyFont="1" applyFill="1" applyBorder="1" applyAlignment="1" applyProtection="1">
      <alignment vertical="center"/>
      <protection locked="0"/>
    </xf>
    <xf numFmtId="172" fontId="33" fillId="3" borderId="33" xfId="6" applyNumberFormat="1" applyFont="1" applyFill="1" applyBorder="1" applyAlignment="1" applyProtection="1">
      <alignment vertical="center"/>
      <protection hidden="1"/>
    </xf>
    <xf numFmtId="0" fontId="31" fillId="0" borderId="5" xfId="5" applyFont="1" applyBorder="1" applyAlignment="1" applyProtection="1">
      <alignment horizontal="left" wrapText="1"/>
      <protection locked="0"/>
    </xf>
    <xf numFmtId="0" fontId="31" fillId="0" borderId="9" xfId="5" applyFont="1" applyBorder="1" applyAlignment="1" applyProtection="1">
      <alignment horizontal="left" wrapText="1"/>
      <protection locked="0"/>
    </xf>
    <xf numFmtId="0" fontId="31" fillId="0" borderId="10" xfId="5" applyFont="1" applyBorder="1" applyAlignment="1" applyProtection="1">
      <alignment horizontal="left" wrapText="1"/>
      <protection locked="0"/>
    </xf>
    <xf numFmtId="0" fontId="31" fillId="0" borderId="11" xfId="5" applyFont="1" applyBorder="1" applyAlignment="1" applyProtection="1">
      <alignment vertical="center"/>
      <protection locked="0"/>
    </xf>
    <xf numFmtId="0" fontId="31" fillId="0" borderId="12" xfId="5" applyFont="1" applyBorder="1" applyAlignment="1" applyProtection="1">
      <alignment vertical="center"/>
      <protection locked="0"/>
    </xf>
    <xf numFmtId="172" fontId="35" fillId="4" borderId="33" xfId="6" applyNumberFormat="1" applyFont="1" applyFill="1" applyBorder="1" applyAlignment="1" applyProtection="1">
      <alignment vertical="center"/>
      <protection hidden="1"/>
    </xf>
    <xf numFmtId="0" fontId="31" fillId="0" borderId="11" xfId="5" applyFont="1" applyBorder="1" applyAlignment="1" applyProtection="1">
      <alignment horizontal="left"/>
      <protection locked="0"/>
    </xf>
    <xf numFmtId="0" fontId="31" fillId="0" borderId="12" xfId="5" applyFont="1" applyBorder="1" applyAlignment="1" applyProtection="1">
      <alignment horizontal="left"/>
      <protection locked="0"/>
    </xf>
    <xf numFmtId="0" fontId="31" fillId="0" borderId="17" xfId="5" applyFont="1" applyBorder="1" applyAlignment="1" applyProtection="1">
      <alignment horizontal="left"/>
      <protection locked="0"/>
    </xf>
    <xf numFmtId="178" fontId="31" fillId="0" borderId="0" xfId="7" applyNumberFormat="1" applyFont="1" applyProtection="1">
      <protection locked="0"/>
    </xf>
    <xf numFmtId="0" fontId="32" fillId="3" borderId="18" xfId="5" applyFont="1" applyFill="1" applyBorder="1" applyProtection="1">
      <protection locked="0"/>
    </xf>
    <xf numFmtId="0" fontId="32" fillId="3" borderId="19" xfId="5" applyFont="1" applyFill="1" applyBorder="1" applyProtection="1">
      <protection locked="0"/>
    </xf>
    <xf numFmtId="172" fontId="32" fillId="3" borderId="36" xfId="5" applyNumberFormat="1" applyFont="1" applyFill="1" applyBorder="1" applyProtection="1">
      <protection hidden="1"/>
    </xf>
    <xf numFmtId="0" fontId="31" fillId="0" borderId="18" xfId="5" applyFont="1" applyBorder="1" applyAlignment="1" applyProtection="1">
      <alignment horizontal="left"/>
      <protection locked="0"/>
    </xf>
    <xf numFmtId="0" fontId="31" fillId="0" borderId="19" xfId="5" applyFont="1" applyBorder="1" applyAlignment="1" applyProtection="1">
      <alignment horizontal="left"/>
      <protection locked="0"/>
    </xf>
    <xf numFmtId="0" fontId="31" fillId="0" borderId="36" xfId="5" applyFont="1" applyBorder="1" applyAlignment="1" applyProtection="1">
      <alignment horizontal="left"/>
      <protection locked="0"/>
    </xf>
    <xf numFmtId="0" fontId="31" fillId="0" borderId="0" xfId="5" applyFont="1" applyAlignment="1" applyProtection="1">
      <alignment wrapText="1"/>
      <protection locked="0"/>
    </xf>
    <xf numFmtId="174" fontId="31" fillId="0" borderId="0" xfId="1" applyNumberFormat="1" applyFont="1" applyProtection="1">
      <protection locked="0"/>
    </xf>
    <xf numFmtId="14" fontId="31" fillId="0" borderId="0" xfId="1" applyNumberFormat="1" applyFont="1" applyProtection="1">
      <protection locked="0"/>
    </xf>
    <xf numFmtId="0" fontId="32" fillId="0" borderId="41" xfId="5" applyFont="1" applyBorder="1" applyAlignment="1" applyProtection="1">
      <alignment horizontal="left" vertical="center" wrapText="1"/>
      <protection locked="0"/>
    </xf>
    <xf numFmtId="0" fontId="31" fillId="0" borderId="4" xfId="5" applyFont="1" applyBorder="1" applyAlignment="1" applyProtection="1">
      <alignment horizontal="left" vertical="center" wrapText="1"/>
      <protection locked="0"/>
    </xf>
    <xf numFmtId="0" fontId="31" fillId="0" borderId="28" xfId="5" applyFont="1" applyBorder="1" applyAlignment="1" applyProtection="1">
      <alignment horizontal="left" vertical="center" wrapText="1"/>
      <protection locked="0"/>
    </xf>
    <xf numFmtId="0" fontId="31" fillId="0" borderId="42" xfId="5" applyFont="1" applyBorder="1" applyAlignment="1" applyProtection="1">
      <alignment horizontal="left" vertical="center" wrapText="1"/>
      <protection locked="0"/>
    </xf>
    <xf numFmtId="0" fontId="31" fillId="0" borderId="43" xfId="5" applyFont="1" applyBorder="1" applyAlignment="1" applyProtection="1">
      <alignment horizontal="left" vertical="center" wrapText="1"/>
      <protection locked="0"/>
    </xf>
    <xf numFmtId="0" fontId="31" fillId="0" borderId="44" xfId="5" applyFont="1" applyBorder="1" applyAlignment="1" applyProtection="1">
      <alignment horizontal="left" vertical="center" wrapText="1"/>
      <protection locked="0"/>
    </xf>
    <xf numFmtId="2" fontId="31" fillId="0" borderId="0" xfId="1" applyNumberFormat="1" applyFont="1" applyProtection="1">
      <protection locked="0"/>
    </xf>
    <xf numFmtId="171" fontId="31" fillId="0" borderId="0" xfId="7" applyNumberFormat="1" applyFont="1" applyFill="1" applyBorder="1" applyProtection="1">
      <protection locked="0"/>
    </xf>
    <xf numFmtId="0" fontId="31" fillId="0" borderId="50" xfId="5" applyFont="1" applyBorder="1" applyAlignment="1" applyProtection="1">
      <alignment horizontal="justify" vertical="justify" wrapText="1"/>
      <protection locked="0"/>
    </xf>
    <xf numFmtId="0" fontId="31" fillId="0" borderId="51" xfId="5" applyFont="1" applyBorder="1" applyAlignment="1" applyProtection="1">
      <alignment horizontal="justify" vertical="justify"/>
      <protection locked="0"/>
    </xf>
    <xf numFmtId="0" fontId="31" fillId="0" borderId="52" xfId="5" applyFont="1" applyBorder="1" applyAlignment="1" applyProtection="1">
      <alignment horizontal="justify" vertical="justify"/>
      <protection locked="0"/>
    </xf>
    <xf numFmtId="0" fontId="31" fillId="0" borderId="53" xfId="5" applyFont="1" applyBorder="1" applyAlignment="1" applyProtection="1">
      <alignment horizontal="justify" vertical="justify"/>
      <protection locked="0"/>
    </xf>
    <xf numFmtId="0" fontId="31" fillId="0" borderId="0" xfId="5" applyFont="1" applyAlignment="1" applyProtection="1">
      <alignment horizontal="justify" vertical="justify"/>
      <protection locked="0"/>
    </xf>
    <xf numFmtId="0" fontId="31" fillId="0" borderId="54" xfId="5" applyFont="1" applyBorder="1" applyAlignment="1" applyProtection="1">
      <alignment horizontal="justify" vertical="justify"/>
      <protection locked="0"/>
    </xf>
    <xf numFmtId="0" fontId="31" fillId="0" borderId="37" xfId="5" applyFont="1" applyBorder="1" applyAlignment="1" applyProtection="1">
      <alignment horizontal="justify" vertical="justify"/>
      <protection locked="0"/>
    </xf>
    <xf numFmtId="0" fontId="31" fillId="0" borderId="55" xfId="5" applyFont="1" applyBorder="1" applyAlignment="1" applyProtection="1">
      <alignment horizontal="justify" vertical="justify"/>
      <protection locked="0"/>
    </xf>
    <xf numFmtId="0" fontId="31" fillId="0" borderId="56" xfId="5" applyFont="1" applyBorder="1" applyAlignment="1" applyProtection="1">
      <alignment horizontal="justify" vertical="justify"/>
      <protection locked="0"/>
    </xf>
    <xf numFmtId="0" fontId="31" fillId="0" borderId="0" xfId="5" applyFont="1" applyAlignment="1" applyProtection="1">
      <alignment horizontal="justify" vertical="justify"/>
      <protection locked="0"/>
    </xf>
    <xf numFmtId="170" fontId="31" fillId="0" borderId="0" xfId="7" applyFont="1" applyProtection="1">
      <protection locked="0"/>
    </xf>
    <xf numFmtId="2" fontId="31" fillId="0" borderId="0" xfId="7" applyNumberFormat="1" applyFont="1" applyProtection="1">
      <protection locked="0"/>
    </xf>
    <xf numFmtId="2" fontId="31" fillId="0" borderId="0" xfId="5" applyNumberFormat="1" applyFont="1" applyProtection="1">
      <protection locked="0"/>
    </xf>
  </cellXfs>
  <cellStyles count="10">
    <cellStyle name="20% - Énfasis1" xfId="4" builtinId="30"/>
    <cellStyle name="20% - Énfasis1 2" xfId="8" xr:uid="{AC39E49A-83D8-4047-9087-1163A48DF689}"/>
    <cellStyle name="Millares" xfId="1" builtinId="3"/>
    <cellStyle name="Millares [0]" xfId="2" builtinId="6"/>
    <cellStyle name="Millares [0] 2" xfId="6" xr:uid="{662A3EDC-47F9-4437-AECD-8BD1BA6FEBA0}"/>
    <cellStyle name="Moneda [0] 2" xfId="9" xr:uid="{18CAECD7-D591-4AAC-86CE-63961C00F2EE}"/>
    <cellStyle name="Moneda 2" xfId="7" xr:uid="{3DC63BA4-9B4A-48B9-9B2F-5821C3499BC1}"/>
    <cellStyle name="Normal" xfId="0" builtinId="0"/>
    <cellStyle name="Normal 2" xfId="5" xr:uid="{8B51DFD2-74AC-4FBB-9D87-CB24D3C5CCEA}"/>
    <cellStyle name="Porcentaje" xfId="3" builtinId="5"/>
  </cellStyles>
  <dxfs count="36">
    <dxf>
      <font>
        <b val="0"/>
        <i val="0"/>
        <strike val="0"/>
        <condense val="0"/>
        <extend val="0"/>
        <outline val="0"/>
        <shadow val="0"/>
        <u val="none"/>
        <vertAlign val="baseline"/>
        <sz val="8"/>
        <color auto="1"/>
        <name val="Tahoma"/>
        <scheme val="none"/>
      </font>
      <numFmt numFmtId="171" formatCode="_(&quot;$&quot;\ * #,##0_);_(&quot;$&quot;\ * \(#,##0\);_(&quot;$&quot;\ * &quot;-&quot;??_);_(@_)"/>
      <fill>
        <patternFill patternType="none">
          <fgColor indexed="64"/>
          <bgColor indexed="65"/>
        </patternFill>
      </fill>
      <border diagonalUp="0" diagonalDown="0" outline="0">
        <left/>
        <right/>
        <top/>
        <bottom style="thin">
          <color theme="8" tint="0.39997558519241921"/>
        </bottom>
      </border>
      <protection locked="0" hidden="0"/>
    </dxf>
    <dxf>
      <font>
        <b val="0"/>
        <i val="0"/>
        <strike val="0"/>
        <condense val="0"/>
        <extend val="0"/>
        <outline val="0"/>
        <shadow val="0"/>
        <u val="none"/>
        <vertAlign val="baseline"/>
        <sz val="8"/>
        <color auto="1"/>
        <name val="Tahoma"/>
        <scheme val="none"/>
      </font>
      <fill>
        <patternFill patternType="none">
          <fgColor indexed="64"/>
          <bgColor indexed="65"/>
        </patternFill>
      </fill>
      <border diagonalUp="0" diagonalDown="0" outline="0">
        <left/>
        <right/>
        <top/>
        <bottom style="thin">
          <color theme="8" tint="0.39997558519241921"/>
        </bottom>
      </border>
      <protection locked="0" hidden="0"/>
    </dxf>
    <dxf>
      <border outline="0">
        <bottom style="thin">
          <color rgb="FF92CDDC"/>
        </bottom>
      </border>
    </dxf>
    <dxf>
      <border outline="0">
        <left style="thin">
          <color rgb="FF92CDDC"/>
        </left>
        <top style="thin">
          <color rgb="FF92CDDC"/>
        </top>
        <bottom style="thin">
          <color rgb="FF92CDDC"/>
        </bottom>
      </border>
    </dxf>
    <dxf>
      <font>
        <strike val="0"/>
        <outline val="0"/>
        <shadow val="0"/>
        <u val="none"/>
        <vertAlign val="baseline"/>
        <sz val="8"/>
        <name val="Tahoma"/>
        <scheme val="none"/>
      </font>
      <fill>
        <patternFill patternType="none">
          <fgColor rgb="FF000000"/>
          <bgColor auto="1"/>
        </patternFill>
      </fill>
      <protection locked="0" hidden="0"/>
    </dxf>
    <dxf>
      <font>
        <strike val="0"/>
        <outline val="0"/>
        <shadow val="0"/>
        <u val="none"/>
        <vertAlign val="baseline"/>
        <sz val="8"/>
        <name val="Tahoma"/>
        <scheme val="none"/>
      </font>
      <fill>
        <patternFill patternType="none">
          <fgColor indexed="64"/>
          <bgColor auto="1"/>
        </patternFill>
      </fill>
      <protection locked="0" hidden="0"/>
    </dxf>
    <dxf>
      <font>
        <b val="0"/>
        <i val="0"/>
        <strike val="0"/>
        <condense val="0"/>
        <extend val="0"/>
        <outline val="0"/>
        <shadow val="0"/>
        <u val="none"/>
        <vertAlign val="baseline"/>
        <sz val="8"/>
        <color auto="1"/>
        <name val="Tahoma"/>
        <scheme val="none"/>
      </font>
      <protection locked="0" hidden="0"/>
    </dxf>
    <dxf>
      <font>
        <b val="0"/>
        <i val="0"/>
        <strike val="0"/>
        <condense val="0"/>
        <extend val="0"/>
        <outline val="0"/>
        <shadow val="0"/>
        <u val="none"/>
        <vertAlign val="baseline"/>
        <sz val="8"/>
        <color auto="1"/>
        <name val="Tahoma"/>
        <scheme val="none"/>
      </font>
      <protection locked="0" hidden="0"/>
    </dxf>
    <dxf>
      <font>
        <b/>
        <i val="0"/>
        <strike val="0"/>
        <condense val="0"/>
        <extend val="0"/>
        <outline val="0"/>
        <shadow val="0"/>
        <u val="none"/>
        <vertAlign val="baseline"/>
        <sz val="8"/>
        <color auto="1"/>
        <name val="Tahoma"/>
        <scheme val="none"/>
      </font>
      <protection locked="0" hidden="0"/>
    </dxf>
    <dxf>
      <font>
        <b val="0"/>
        <i val="0"/>
        <strike val="0"/>
        <condense val="0"/>
        <extend val="0"/>
        <outline val="0"/>
        <shadow val="0"/>
        <u val="none"/>
        <vertAlign val="baseline"/>
        <sz val="8"/>
        <color auto="1"/>
        <name val="Tahoma"/>
        <scheme val="none"/>
      </font>
      <protection locked="0" hidden="0"/>
    </dxf>
    <dxf>
      <font>
        <b val="0"/>
        <i val="0"/>
        <strike val="0"/>
        <condense val="0"/>
        <extend val="0"/>
        <outline val="0"/>
        <shadow val="0"/>
        <u val="none"/>
        <vertAlign val="baseline"/>
        <sz val="8"/>
        <color auto="1"/>
        <name val="Tahoma"/>
        <scheme val="none"/>
      </font>
      <protection locked="0" hidden="0"/>
    </dxf>
    <dxf>
      <font>
        <b val="0"/>
        <i val="0"/>
        <strike val="0"/>
        <condense val="0"/>
        <extend val="0"/>
        <outline val="0"/>
        <shadow val="0"/>
        <u val="none"/>
        <vertAlign val="baseline"/>
        <sz val="8"/>
        <color auto="1"/>
        <name val="Tahoma"/>
        <scheme val="none"/>
      </font>
      <protection locked="0" hidden="0"/>
    </dxf>
    <dxf>
      <font>
        <b val="0"/>
        <i val="0"/>
        <strike val="0"/>
        <condense val="0"/>
        <extend val="0"/>
        <outline val="0"/>
        <shadow val="0"/>
        <u val="none"/>
        <vertAlign val="baseline"/>
        <sz val="7.5"/>
        <color auto="1"/>
        <name val="Arial"/>
        <scheme val="none"/>
      </font>
      <numFmt numFmtId="171" formatCode="_(&quot;$&quot;\ * #,##0_);_(&quot;$&quot;\ * \(#,##0\);_(&quot;$&quot;\ * &quot;-&quot;??_);_(@_)"/>
      <fill>
        <patternFill patternType="none">
          <fgColor indexed="64"/>
          <bgColor indexed="65"/>
        </patternFill>
      </fill>
      <border diagonalUp="0" diagonalDown="0" outline="0">
        <left/>
        <right/>
        <top/>
        <bottom style="thin">
          <color theme="8" tint="0.39997558519241921"/>
        </bottom>
      </border>
      <protection locked="0" hidden="0"/>
    </dxf>
    <dxf>
      <font>
        <b val="0"/>
        <i val="0"/>
        <strike val="0"/>
        <condense val="0"/>
        <extend val="0"/>
        <outline val="0"/>
        <shadow val="0"/>
        <u val="none"/>
        <vertAlign val="baseline"/>
        <sz val="7.5"/>
        <color auto="1"/>
        <name val="Arial"/>
        <scheme val="none"/>
      </font>
      <fill>
        <patternFill patternType="none">
          <fgColor indexed="64"/>
          <bgColor indexed="65"/>
        </patternFill>
      </fill>
      <border diagonalUp="0" diagonalDown="0" outline="0">
        <left/>
        <right/>
        <top/>
        <bottom style="thin">
          <color theme="8" tint="0.39997558519241921"/>
        </bottom>
      </border>
      <protection locked="0" hidden="0"/>
    </dxf>
    <dxf>
      <border outline="0">
        <bottom style="thin">
          <color rgb="FF92CDDC"/>
        </bottom>
      </border>
    </dxf>
    <dxf>
      <border outline="0">
        <left style="thin">
          <color rgb="FF92CDDC"/>
        </left>
        <top style="thin">
          <color rgb="FF92CDDC"/>
        </top>
        <bottom style="thin">
          <color rgb="FF92CDDC"/>
        </bottom>
      </border>
    </dxf>
    <dxf>
      <font>
        <strike val="0"/>
        <outline val="0"/>
        <shadow val="0"/>
        <u val="none"/>
        <vertAlign val="baseline"/>
        <sz val="7.5"/>
        <name val="Arial"/>
        <scheme val="none"/>
      </font>
      <fill>
        <patternFill patternType="none">
          <fgColor rgb="FF000000"/>
          <bgColor auto="1"/>
        </patternFill>
      </fill>
      <protection locked="0" hidden="0"/>
    </dxf>
    <dxf>
      <font>
        <strike val="0"/>
        <outline val="0"/>
        <shadow val="0"/>
        <u val="none"/>
        <vertAlign val="baseline"/>
        <sz val="7.5"/>
        <name val="Arial"/>
        <scheme val="none"/>
      </font>
      <fill>
        <patternFill patternType="none">
          <fgColor indexed="64"/>
          <bgColor auto="1"/>
        </patternFill>
      </fill>
      <protection locked="0" hidden="0"/>
    </dxf>
    <dxf>
      <font>
        <b val="0"/>
        <i val="0"/>
        <strike val="0"/>
        <condense val="0"/>
        <extend val="0"/>
        <outline val="0"/>
        <shadow val="0"/>
        <u val="none"/>
        <vertAlign val="baseline"/>
        <sz val="7.5"/>
        <color auto="1"/>
        <name val="Arial"/>
        <scheme val="none"/>
      </font>
      <protection locked="0" hidden="0"/>
    </dxf>
    <dxf>
      <font>
        <b val="0"/>
        <i val="0"/>
        <strike val="0"/>
        <condense val="0"/>
        <extend val="0"/>
        <outline val="0"/>
        <shadow val="0"/>
        <u val="none"/>
        <vertAlign val="baseline"/>
        <sz val="7.5"/>
        <color auto="1"/>
        <name val="Arial"/>
        <scheme val="none"/>
      </font>
      <protection locked="0" hidden="0"/>
    </dxf>
    <dxf>
      <font>
        <b/>
        <i val="0"/>
        <strike val="0"/>
        <condense val="0"/>
        <extend val="0"/>
        <outline val="0"/>
        <shadow val="0"/>
        <u val="none"/>
        <vertAlign val="baseline"/>
        <sz val="7.5"/>
        <color auto="1"/>
        <name val="Arial"/>
        <scheme val="none"/>
      </font>
      <protection locked="0" hidden="0"/>
    </dxf>
    <dxf>
      <font>
        <b val="0"/>
        <i val="0"/>
        <strike val="0"/>
        <condense val="0"/>
        <extend val="0"/>
        <outline val="0"/>
        <shadow val="0"/>
        <u val="none"/>
        <vertAlign val="baseline"/>
        <sz val="7.5"/>
        <color auto="1"/>
        <name val="Arial"/>
        <scheme val="none"/>
      </font>
      <protection locked="0" hidden="0"/>
    </dxf>
    <dxf>
      <font>
        <b val="0"/>
        <i val="0"/>
        <strike val="0"/>
        <condense val="0"/>
        <extend val="0"/>
        <outline val="0"/>
        <shadow val="0"/>
        <u val="none"/>
        <vertAlign val="baseline"/>
        <sz val="7.5"/>
        <color auto="1"/>
        <name val="Arial"/>
        <scheme val="none"/>
      </font>
      <protection locked="0" hidden="0"/>
    </dxf>
    <dxf>
      <font>
        <b val="0"/>
        <i val="0"/>
        <strike val="0"/>
        <condense val="0"/>
        <extend val="0"/>
        <outline val="0"/>
        <shadow val="0"/>
        <u val="none"/>
        <vertAlign val="baseline"/>
        <sz val="7.5"/>
        <color auto="1"/>
        <name val="Arial"/>
        <scheme val="none"/>
      </font>
      <protection locked="0" hidden="0"/>
    </dxf>
    <dxf>
      <font>
        <b val="0"/>
        <i val="0"/>
        <strike val="0"/>
        <condense val="0"/>
        <extend val="0"/>
        <outline val="0"/>
        <shadow val="0"/>
        <u val="none"/>
        <vertAlign val="baseline"/>
        <sz val="8"/>
        <color auto="1"/>
        <name val="Century Gothic"/>
        <scheme val="none"/>
      </font>
      <numFmt numFmtId="171" formatCode="_(&quot;$&quot;\ * #,##0_);_(&quot;$&quot;\ * \(#,##0\);_(&quot;$&quot;\ * &quot;-&quot;??_);_(@_)"/>
      <fill>
        <patternFill patternType="none">
          <fgColor indexed="64"/>
          <bgColor indexed="65"/>
        </patternFill>
      </fill>
      <border diagonalUp="0" diagonalDown="0" outline="0">
        <left/>
        <right/>
        <top/>
        <bottom style="thin">
          <color theme="8" tint="0.39997558519241921"/>
        </bottom>
      </border>
      <protection locked="0" hidden="0"/>
    </dxf>
    <dxf>
      <font>
        <b val="0"/>
        <i val="0"/>
        <strike val="0"/>
        <condense val="0"/>
        <extend val="0"/>
        <outline val="0"/>
        <shadow val="0"/>
        <u val="none"/>
        <vertAlign val="baseline"/>
        <sz val="8"/>
        <color auto="1"/>
        <name val="Century Gothic"/>
        <scheme val="none"/>
      </font>
      <fill>
        <patternFill patternType="none">
          <fgColor indexed="64"/>
          <bgColor indexed="65"/>
        </patternFill>
      </fill>
      <border diagonalUp="0" diagonalDown="0" outline="0">
        <left/>
        <right/>
        <top/>
        <bottom style="thin">
          <color theme="8" tint="0.39997558519241921"/>
        </bottom>
      </border>
      <protection locked="0" hidden="0"/>
    </dxf>
    <dxf>
      <border outline="0">
        <bottom style="thin">
          <color theme="8" tint="0.39997558519241921"/>
        </bottom>
      </border>
    </dxf>
    <dxf>
      <border outline="0">
        <left style="thin">
          <color theme="8" tint="0.39997558519241921"/>
        </left>
        <top style="thin">
          <color theme="8" tint="0.39997558519241921"/>
        </top>
        <bottom style="thin">
          <color theme="8" tint="0.39997558519241921"/>
        </bottom>
      </border>
    </dxf>
    <dxf>
      <font>
        <strike val="0"/>
        <outline val="0"/>
        <shadow val="0"/>
        <u val="none"/>
        <vertAlign val="baseline"/>
        <sz val="8"/>
        <name val="Century Gothic"/>
        <scheme val="none"/>
      </font>
      <fill>
        <patternFill patternType="none">
          <fgColor indexed="64"/>
          <bgColor auto="1"/>
        </patternFill>
      </fill>
      <protection locked="0" hidden="0"/>
    </dxf>
    <dxf>
      <font>
        <b val="0"/>
        <i val="0"/>
        <strike val="0"/>
        <condense val="0"/>
        <extend val="0"/>
        <outline val="0"/>
        <shadow val="0"/>
        <u val="none"/>
        <vertAlign val="baseline"/>
        <sz val="8"/>
        <color auto="1"/>
        <name val="Century Gothic"/>
        <scheme val="none"/>
      </font>
      <protection locked="0" hidden="0"/>
    </dxf>
    <dxf>
      <font>
        <b val="0"/>
        <i val="0"/>
        <strike val="0"/>
        <condense val="0"/>
        <extend val="0"/>
        <outline val="0"/>
        <shadow val="0"/>
        <u val="none"/>
        <vertAlign val="baseline"/>
        <sz val="8"/>
        <color auto="1"/>
        <name val="Century Gothic"/>
        <scheme val="none"/>
      </font>
      <protection locked="0" hidden="0"/>
    </dxf>
    <dxf>
      <font>
        <b val="0"/>
        <i val="0"/>
        <strike val="0"/>
        <condense val="0"/>
        <extend val="0"/>
        <outline val="0"/>
        <shadow val="0"/>
        <u val="none"/>
        <vertAlign val="baseline"/>
        <sz val="8"/>
        <color auto="1"/>
        <name val="Century Gothic"/>
        <scheme val="none"/>
      </font>
      <protection locked="0" hidden="0"/>
    </dxf>
    <dxf>
      <font>
        <b/>
        <i val="0"/>
        <strike val="0"/>
        <condense val="0"/>
        <extend val="0"/>
        <outline val="0"/>
        <shadow val="0"/>
        <u val="none"/>
        <vertAlign val="baseline"/>
        <sz val="8"/>
        <color auto="1"/>
        <name val="Century Gothic"/>
        <scheme val="none"/>
      </font>
      <protection locked="0" hidden="0"/>
    </dxf>
    <dxf>
      <font>
        <b val="0"/>
        <i val="0"/>
        <strike val="0"/>
        <condense val="0"/>
        <extend val="0"/>
        <outline val="0"/>
        <shadow val="0"/>
        <u val="none"/>
        <vertAlign val="baseline"/>
        <sz val="8"/>
        <color auto="1"/>
        <name val="Century Gothic"/>
        <scheme val="none"/>
      </font>
      <protection locked="0" hidden="0"/>
    </dxf>
    <dxf>
      <font>
        <b val="0"/>
        <i val="0"/>
        <strike val="0"/>
        <condense val="0"/>
        <extend val="0"/>
        <outline val="0"/>
        <shadow val="0"/>
        <u val="none"/>
        <vertAlign val="baseline"/>
        <sz val="8"/>
        <color auto="1"/>
        <name val="Century Gothic"/>
        <scheme val="none"/>
      </font>
      <protection locked="0" hidden="0"/>
    </dxf>
    <dxf>
      <font>
        <b val="0"/>
        <i val="0"/>
        <strike val="0"/>
        <condense val="0"/>
        <extend val="0"/>
        <outline val="0"/>
        <shadow val="0"/>
        <u val="none"/>
        <vertAlign val="baseline"/>
        <sz val="8"/>
        <color auto="1"/>
        <name val="Century Gothic"/>
        <scheme val="none"/>
      </font>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5</xdr:col>
      <xdr:colOff>1038223</xdr:colOff>
      <xdr:row>35</xdr:row>
      <xdr:rowOff>104773</xdr:rowOff>
    </xdr:from>
    <xdr:to>
      <xdr:col>5</xdr:col>
      <xdr:colOff>1295400</xdr:colOff>
      <xdr:row>36</xdr:row>
      <xdr:rowOff>9524</xdr:rowOff>
    </xdr:to>
    <xdr:sp macro="" textlink="">
      <xdr:nvSpPr>
        <xdr:cNvPr id="2" name="Rectángulo redondeado 4">
          <a:extLst>
            <a:ext uri="{FF2B5EF4-FFF2-40B4-BE49-F238E27FC236}">
              <a16:creationId xmlns:a16="http://schemas.microsoft.com/office/drawing/2014/main" id="{947742C3-D314-43D9-9AEB-5CC156BB23F5}"/>
            </a:ext>
          </a:extLst>
        </xdr:cNvPr>
        <xdr:cNvSpPr/>
      </xdr:nvSpPr>
      <xdr:spPr>
        <a:xfrm flipV="1">
          <a:off x="3965573" y="6518273"/>
          <a:ext cx="257177" cy="228601"/>
        </a:xfrm>
        <a:prstGeom prst="roundRect">
          <a:avLst/>
        </a:prstGeom>
        <a:no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CO"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4</xdr:col>
      <xdr:colOff>762000</xdr:colOff>
      <xdr:row>35</xdr:row>
      <xdr:rowOff>114300</xdr:rowOff>
    </xdr:from>
    <xdr:to>
      <xdr:col>4</xdr:col>
      <xdr:colOff>1000125</xdr:colOff>
      <xdr:row>35</xdr:row>
      <xdr:rowOff>314324</xdr:rowOff>
    </xdr:to>
    <xdr:sp macro="" textlink="">
      <xdr:nvSpPr>
        <xdr:cNvPr id="3" name="Rectángulo redondeado 5">
          <a:extLst>
            <a:ext uri="{FF2B5EF4-FFF2-40B4-BE49-F238E27FC236}">
              <a16:creationId xmlns:a16="http://schemas.microsoft.com/office/drawing/2014/main" id="{8227EB42-1002-476B-A915-0E41C797A0AD}"/>
            </a:ext>
          </a:extLst>
        </xdr:cNvPr>
        <xdr:cNvSpPr/>
      </xdr:nvSpPr>
      <xdr:spPr>
        <a:xfrm flipV="1">
          <a:off x="1371600" y="6527800"/>
          <a:ext cx="238125" cy="200024"/>
        </a:xfrm>
        <a:prstGeom prst="roundRect">
          <a:avLst/>
        </a:prstGeom>
        <a:no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CO"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4" name="AutoShape 1" descr="Seguros_Right_RGB.png">
          <a:extLst>
            <a:ext uri="{FF2B5EF4-FFF2-40B4-BE49-F238E27FC236}">
              <a16:creationId xmlns:a16="http://schemas.microsoft.com/office/drawing/2014/main" id="{08249404-7CA2-4C31-8D9A-CC7477765222}"/>
            </a:ext>
          </a:extLst>
        </xdr:cNvPr>
        <xdr:cNvSpPr>
          <a:spLocks noChangeAspect="1" noChangeArrowheads="1"/>
        </xdr:cNvSpPr>
      </xdr:nvSpPr>
      <xdr:spPr bwMode="auto">
        <a:xfrm>
          <a:off x="609600" y="34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266700</xdr:colOff>
      <xdr:row>0</xdr:row>
      <xdr:rowOff>47625</xdr:rowOff>
    </xdr:from>
    <xdr:to>
      <xdr:col>4</xdr:col>
      <xdr:colOff>1552575</xdr:colOff>
      <xdr:row>2</xdr:row>
      <xdr:rowOff>285750</xdr:rowOff>
    </xdr:to>
    <xdr:pic>
      <xdr:nvPicPr>
        <xdr:cNvPr id="5" name="Imagen 4" descr="C:\Users\cg22698\Downloads\Seguros_Right_RGB.png">
          <a:extLst>
            <a:ext uri="{FF2B5EF4-FFF2-40B4-BE49-F238E27FC236}">
              <a16:creationId xmlns:a16="http://schemas.microsoft.com/office/drawing/2014/main" id="{A0CDBFF2-CA81-486F-ADFF-8481FD5A55D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050" y="47625"/>
          <a:ext cx="1635125" cy="5810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241300</xdr:colOff>
          <xdr:row>34</xdr:row>
          <xdr:rowOff>152400</xdr:rowOff>
        </xdr:from>
        <xdr:to>
          <xdr:col>5</xdr:col>
          <xdr:colOff>88900</xdr:colOff>
          <xdr:row>34</xdr:row>
          <xdr:rowOff>342900</xdr:rowOff>
        </xdr:to>
        <xdr:sp macro="" textlink="">
          <xdr:nvSpPr>
            <xdr:cNvPr id="2" name="CheckBox1" hidden="1">
              <a:extLst>
                <a:ext uri="{63B3BB69-23CF-44E3-9099-C40C66FF867C}">
                  <a14:compatExt spid="_x0000_s2049"/>
                </a:ext>
                <a:ext uri="{FF2B5EF4-FFF2-40B4-BE49-F238E27FC236}">
                  <a16:creationId xmlns:a16="http://schemas.microsoft.com/office/drawing/2014/main" id="{49606D34-E79C-436B-9F74-937A5273AD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34</xdr:row>
          <xdr:rowOff>95250</xdr:rowOff>
        </xdr:from>
        <xdr:to>
          <xdr:col>9</xdr:col>
          <xdr:colOff>1123950</xdr:colOff>
          <xdr:row>34</xdr:row>
          <xdr:rowOff>285750</xdr:rowOff>
        </xdr:to>
        <xdr:sp macro="" textlink="">
          <xdr:nvSpPr>
            <xdr:cNvPr id="3" name="CheckBox2" hidden="1">
              <a:extLst>
                <a:ext uri="{63B3BB69-23CF-44E3-9099-C40C66FF867C}">
                  <a14:compatExt spid="_x0000_s2050"/>
                </a:ext>
                <a:ext uri="{FF2B5EF4-FFF2-40B4-BE49-F238E27FC236}">
                  <a16:creationId xmlns:a16="http://schemas.microsoft.com/office/drawing/2014/main" id="{05F27438-9585-465D-A7AE-834CA2F10E3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47624</xdr:colOff>
      <xdr:row>0</xdr:row>
      <xdr:rowOff>9525</xdr:rowOff>
    </xdr:from>
    <xdr:to>
      <xdr:col>4</xdr:col>
      <xdr:colOff>1257299</xdr:colOff>
      <xdr:row>2</xdr:row>
      <xdr:rowOff>114300</xdr:rowOff>
    </xdr:to>
    <xdr:pic>
      <xdr:nvPicPr>
        <xdr:cNvPr id="4" name="Imagen 3" descr="C:\Users\cg22698\Downloads\Seguros_Right_RGB.png">
          <a:extLst>
            <a:ext uri="{FF2B5EF4-FFF2-40B4-BE49-F238E27FC236}">
              <a16:creationId xmlns:a16="http://schemas.microsoft.com/office/drawing/2014/main" id="{9F144F8C-9777-4246-A93F-F051D1431E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4" y="9525"/>
          <a:ext cx="1641475" cy="4095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241300</xdr:colOff>
          <xdr:row>34</xdr:row>
          <xdr:rowOff>152400</xdr:rowOff>
        </xdr:from>
        <xdr:to>
          <xdr:col>5</xdr:col>
          <xdr:colOff>57150</xdr:colOff>
          <xdr:row>34</xdr:row>
          <xdr:rowOff>342900</xdr:rowOff>
        </xdr:to>
        <xdr:sp macro="" textlink="">
          <xdr:nvSpPr>
            <xdr:cNvPr id="2" name="CheckBox1" hidden="1">
              <a:extLst>
                <a:ext uri="{63B3BB69-23CF-44E3-9099-C40C66FF867C}">
                  <a14:compatExt spid="_x0000_s3073"/>
                </a:ext>
                <a:ext uri="{FF2B5EF4-FFF2-40B4-BE49-F238E27FC236}">
                  <a16:creationId xmlns:a16="http://schemas.microsoft.com/office/drawing/2014/main" id="{32D46EF0-882D-49AC-B394-550C42B2CC0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546100</xdr:colOff>
          <xdr:row>34</xdr:row>
          <xdr:rowOff>95250</xdr:rowOff>
        </xdr:from>
        <xdr:to>
          <xdr:col>9</xdr:col>
          <xdr:colOff>647700</xdr:colOff>
          <xdr:row>34</xdr:row>
          <xdr:rowOff>285750</xdr:rowOff>
        </xdr:to>
        <xdr:sp macro="" textlink="">
          <xdr:nvSpPr>
            <xdr:cNvPr id="3" name="CheckBox2" hidden="1">
              <a:extLst>
                <a:ext uri="{63B3BB69-23CF-44E3-9099-C40C66FF867C}">
                  <a14:compatExt spid="_x0000_s3074"/>
                </a:ext>
                <a:ext uri="{FF2B5EF4-FFF2-40B4-BE49-F238E27FC236}">
                  <a16:creationId xmlns:a16="http://schemas.microsoft.com/office/drawing/2014/main" id="{ACE7C45F-FC28-449F-A422-44D15C379DA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161924</xdr:colOff>
      <xdr:row>0</xdr:row>
      <xdr:rowOff>0</xdr:rowOff>
    </xdr:from>
    <xdr:to>
      <xdr:col>4</xdr:col>
      <xdr:colOff>1257300</xdr:colOff>
      <xdr:row>2</xdr:row>
      <xdr:rowOff>114300</xdr:rowOff>
    </xdr:to>
    <xdr:pic>
      <xdr:nvPicPr>
        <xdr:cNvPr id="4" name="Imagen 3" descr="C:\Users\cg22698\Downloads\Seguros_Right_RGB.png">
          <a:extLst>
            <a:ext uri="{FF2B5EF4-FFF2-40B4-BE49-F238E27FC236}">
              <a16:creationId xmlns:a16="http://schemas.microsoft.com/office/drawing/2014/main" id="{CC47486E-D1C6-44E0-96EB-6D37988F016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0"/>
          <a:ext cx="1711326" cy="4191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zurichinsurance.sharepoint.com/sites/ComitePrimario-SegurosGenerales/Shared%20Documents/Salida%20BBVA/Respaldo%20PC/Documentos%20tramites%20BBVA/Liquidador%20Seguros%20Generales%20actualizado%20-%20ACTUALIZADO.xlsx" TargetMode="External"/><Relationship Id="rId1" Type="http://schemas.openxmlformats.org/officeDocument/2006/relationships/externalLinkPath" Target="https://zurichinsurance.sharepoint.com/sites/ComitePrimario-SegurosGenerales/Shared%20Documents/Salida%20BBVA/Respaldo%20PC/Documentos%20tramites%20BBVA/Liquidador%20Seguros%20Generales%20actualizado%20-%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M Historica"/>
      <sheetName val="Demeritos"/>
      <sheetName val="Liquidador"/>
      <sheetName val="Liquidador Deudores"/>
      <sheetName val="Liquidador leasing"/>
      <sheetName val="LIQUIDACION DOLARES"/>
      <sheetName val="aliados inmobiliarios"/>
      <sheetName val="agropecuaria pichucho"/>
    </sheetNames>
    <sheetDataSet>
      <sheetData sheetId="0">
        <row r="2">
          <cell r="B2" t="str">
            <v>Tasa de cambio representativa del mercado (TRM)</v>
          </cell>
        </row>
        <row r="4">
          <cell r="B4" t="str">
            <v>1,1,3 Serie histórica</v>
          </cell>
        </row>
        <row r="6">
          <cell r="B6" t="str">
            <v>Información disponible desde el 27 de noviembre de 1991</v>
          </cell>
        </row>
        <row r="7">
          <cell r="B7" t="str">
            <v>Fecha (dd/mm/aaaa)</v>
          </cell>
          <cell r="C7" t="str">
            <v>Tasa de cambio representativa del mercado (TRM)</v>
          </cell>
        </row>
        <row r="8">
          <cell r="B8">
            <v>33569</v>
          </cell>
          <cell r="C8">
            <v>693.32</v>
          </cell>
        </row>
        <row r="9">
          <cell r="B9">
            <v>33570</v>
          </cell>
          <cell r="C9">
            <v>693.99</v>
          </cell>
        </row>
        <row r="10">
          <cell r="B10">
            <v>33571</v>
          </cell>
          <cell r="C10">
            <v>694.7</v>
          </cell>
        </row>
        <row r="11">
          <cell r="B11">
            <v>33572</v>
          </cell>
          <cell r="C11">
            <v>694.7</v>
          </cell>
        </row>
        <row r="12">
          <cell r="B12">
            <v>33573</v>
          </cell>
          <cell r="C12">
            <v>643.41999999999996</v>
          </cell>
        </row>
        <row r="13">
          <cell r="B13">
            <v>33574</v>
          </cell>
          <cell r="C13">
            <v>643.41999999999996</v>
          </cell>
        </row>
        <row r="14">
          <cell r="B14">
            <v>33575</v>
          </cell>
          <cell r="C14">
            <v>639.22</v>
          </cell>
        </row>
        <row r="15">
          <cell r="B15">
            <v>33576</v>
          </cell>
          <cell r="C15">
            <v>635.70000000000005</v>
          </cell>
        </row>
        <row r="16">
          <cell r="B16">
            <v>33577</v>
          </cell>
          <cell r="C16">
            <v>631.51</v>
          </cell>
        </row>
        <row r="17">
          <cell r="B17">
            <v>33578</v>
          </cell>
          <cell r="C17">
            <v>627.16</v>
          </cell>
        </row>
        <row r="18">
          <cell r="B18">
            <v>33579</v>
          </cell>
          <cell r="C18">
            <v>638.05999999999995</v>
          </cell>
        </row>
        <row r="19">
          <cell r="B19">
            <v>33580</v>
          </cell>
          <cell r="C19">
            <v>638.05999999999995</v>
          </cell>
        </row>
        <row r="20">
          <cell r="B20">
            <v>33581</v>
          </cell>
          <cell r="C20">
            <v>638.05999999999995</v>
          </cell>
        </row>
        <row r="21">
          <cell r="B21">
            <v>33582</v>
          </cell>
          <cell r="C21">
            <v>622.91999999999996</v>
          </cell>
        </row>
        <row r="22">
          <cell r="B22">
            <v>33583</v>
          </cell>
          <cell r="C22">
            <v>627.46</v>
          </cell>
        </row>
        <row r="23">
          <cell r="B23">
            <v>33584</v>
          </cell>
          <cell r="C23">
            <v>633.09</v>
          </cell>
        </row>
        <row r="24">
          <cell r="B24">
            <v>33585</v>
          </cell>
          <cell r="C24">
            <v>632.35</v>
          </cell>
        </row>
        <row r="25">
          <cell r="B25">
            <v>33586</v>
          </cell>
          <cell r="C25">
            <v>630.91</v>
          </cell>
        </row>
        <row r="26">
          <cell r="B26">
            <v>33587</v>
          </cell>
          <cell r="C26">
            <v>630.91</v>
          </cell>
        </row>
        <row r="27">
          <cell r="B27">
            <v>33588</v>
          </cell>
          <cell r="C27">
            <v>630.91</v>
          </cell>
        </row>
        <row r="28">
          <cell r="B28">
            <v>33589</v>
          </cell>
          <cell r="C28">
            <v>626.23</v>
          </cell>
        </row>
        <row r="29">
          <cell r="B29">
            <v>33590</v>
          </cell>
          <cell r="C29">
            <v>626.52</v>
          </cell>
        </row>
        <row r="30">
          <cell r="B30">
            <v>33591</v>
          </cell>
          <cell r="C30">
            <v>633.35</v>
          </cell>
        </row>
        <row r="31">
          <cell r="B31">
            <v>33592</v>
          </cell>
          <cell r="C31">
            <v>621.71</v>
          </cell>
        </row>
        <row r="32">
          <cell r="B32">
            <v>33593</v>
          </cell>
          <cell r="C32">
            <v>620.62</v>
          </cell>
        </row>
        <row r="33">
          <cell r="B33">
            <v>33594</v>
          </cell>
          <cell r="C33">
            <v>620.62</v>
          </cell>
        </row>
        <row r="34">
          <cell r="B34">
            <v>33595</v>
          </cell>
          <cell r="C34">
            <v>620.62</v>
          </cell>
        </row>
        <row r="35">
          <cell r="B35">
            <v>33596</v>
          </cell>
          <cell r="C35">
            <v>622.95000000000005</v>
          </cell>
        </row>
        <row r="36">
          <cell r="B36">
            <v>33597</v>
          </cell>
          <cell r="C36">
            <v>622.95000000000005</v>
          </cell>
        </row>
        <row r="37">
          <cell r="B37">
            <v>33598</v>
          </cell>
          <cell r="C37">
            <v>622.95000000000005</v>
          </cell>
        </row>
        <row r="38">
          <cell r="B38">
            <v>33599</v>
          </cell>
          <cell r="C38">
            <v>631.63</v>
          </cell>
        </row>
        <row r="39">
          <cell r="B39">
            <v>33600</v>
          </cell>
          <cell r="C39">
            <v>632.37</v>
          </cell>
        </row>
        <row r="40">
          <cell r="B40">
            <v>33601</v>
          </cell>
          <cell r="C40">
            <v>632.37</v>
          </cell>
        </row>
        <row r="41">
          <cell r="B41">
            <v>33602</v>
          </cell>
          <cell r="C41">
            <v>632.37</v>
          </cell>
        </row>
        <row r="42">
          <cell r="B42">
            <v>33603</v>
          </cell>
          <cell r="C42">
            <v>632.37</v>
          </cell>
        </row>
        <row r="43">
          <cell r="B43">
            <v>33604</v>
          </cell>
          <cell r="C43">
            <v>632.37</v>
          </cell>
        </row>
        <row r="44">
          <cell r="B44">
            <v>33605</v>
          </cell>
          <cell r="C44">
            <v>638.61</v>
          </cell>
        </row>
        <row r="45">
          <cell r="B45">
            <v>33606</v>
          </cell>
          <cell r="C45">
            <v>632.58000000000004</v>
          </cell>
        </row>
        <row r="46">
          <cell r="B46">
            <v>33607</v>
          </cell>
          <cell r="C46">
            <v>638.07000000000005</v>
          </cell>
        </row>
        <row r="47">
          <cell r="B47">
            <v>33608</v>
          </cell>
          <cell r="C47">
            <v>638.07000000000005</v>
          </cell>
        </row>
        <row r="48">
          <cell r="B48">
            <v>33609</v>
          </cell>
          <cell r="C48">
            <v>638.07000000000005</v>
          </cell>
        </row>
        <row r="49">
          <cell r="B49">
            <v>33610</v>
          </cell>
          <cell r="C49">
            <v>638.07000000000005</v>
          </cell>
        </row>
        <row r="50">
          <cell r="B50">
            <v>33611</v>
          </cell>
          <cell r="C50">
            <v>638.16999999999996</v>
          </cell>
        </row>
        <row r="51">
          <cell r="B51">
            <v>33612</v>
          </cell>
          <cell r="C51">
            <v>638.61</v>
          </cell>
        </row>
        <row r="52">
          <cell r="B52">
            <v>33613</v>
          </cell>
          <cell r="C52">
            <v>637.86</v>
          </cell>
        </row>
        <row r="53">
          <cell r="B53">
            <v>33614</v>
          </cell>
          <cell r="C53">
            <v>645.04</v>
          </cell>
        </row>
        <row r="54">
          <cell r="B54">
            <v>33615</v>
          </cell>
          <cell r="C54">
            <v>645.04</v>
          </cell>
        </row>
        <row r="55">
          <cell r="B55">
            <v>33616</v>
          </cell>
          <cell r="C55">
            <v>645.04</v>
          </cell>
        </row>
        <row r="56">
          <cell r="B56">
            <v>33617</v>
          </cell>
          <cell r="C56">
            <v>659.74</v>
          </cell>
        </row>
        <row r="57">
          <cell r="B57">
            <v>33618</v>
          </cell>
          <cell r="C57">
            <v>657.49</v>
          </cell>
        </row>
        <row r="58">
          <cell r="B58">
            <v>33619</v>
          </cell>
          <cell r="C58">
            <v>653.45000000000005</v>
          </cell>
        </row>
        <row r="59">
          <cell r="B59">
            <v>33620</v>
          </cell>
          <cell r="C59">
            <v>652.91</v>
          </cell>
        </row>
        <row r="60">
          <cell r="B60">
            <v>33621</v>
          </cell>
          <cell r="C60">
            <v>645.35</v>
          </cell>
        </row>
        <row r="61">
          <cell r="B61">
            <v>33622</v>
          </cell>
          <cell r="C61">
            <v>645.35</v>
          </cell>
        </row>
        <row r="62">
          <cell r="B62">
            <v>33623</v>
          </cell>
          <cell r="C62">
            <v>645.35</v>
          </cell>
        </row>
        <row r="63">
          <cell r="B63">
            <v>33624</v>
          </cell>
          <cell r="C63">
            <v>645.97</v>
          </cell>
        </row>
        <row r="64">
          <cell r="B64">
            <v>33625</v>
          </cell>
          <cell r="C64">
            <v>647.04</v>
          </cell>
        </row>
        <row r="65">
          <cell r="B65">
            <v>33626</v>
          </cell>
          <cell r="C65">
            <v>647.01</v>
          </cell>
        </row>
        <row r="66">
          <cell r="B66">
            <v>33627</v>
          </cell>
          <cell r="C66">
            <v>647.01</v>
          </cell>
        </row>
        <row r="67">
          <cell r="B67">
            <v>33628</v>
          </cell>
          <cell r="C67">
            <v>644.83000000000004</v>
          </cell>
        </row>
        <row r="68">
          <cell r="B68">
            <v>33629</v>
          </cell>
          <cell r="C68">
            <v>644.83000000000004</v>
          </cell>
        </row>
        <row r="69">
          <cell r="B69">
            <v>33630</v>
          </cell>
          <cell r="C69">
            <v>644.83000000000004</v>
          </cell>
        </row>
        <row r="70">
          <cell r="B70">
            <v>33631</v>
          </cell>
          <cell r="C70">
            <v>645.53</v>
          </cell>
        </row>
        <row r="71">
          <cell r="B71">
            <v>33632</v>
          </cell>
          <cell r="C71">
            <v>645.20000000000005</v>
          </cell>
        </row>
        <row r="72">
          <cell r="B72">
            <v>33633</v>
          </cell>
          <cell r="C72">
            <v>644.04</v>
          </cell>
        </row>
        <row r="73">
          <cell r="B73">
            <v>33634</v>
          </cell>
          <cell r="C73">
            <v>644.27</v>
          </cell>
        </row>
        <row r="74">
          <cell r="B74">
            <v>33635</v>
          </cell>
          <cell r="C74">
            <v>640.52</v>
          </cell>
        </row>
        <row r="75">
          <cell r="B75">
            <v>33636</v>
          </cell>
          <cell r="C75">
            <v>640.52</v>
          </cell>
        </row>
        <row r="76">
          <cell r="B76">
            <v>33637</v>
          </cell>
          <cell r="C76">
            <v>640.52</v>
          </cell>
        </row>
        <row r="77">
          <cell r="B77">
            <v>33638</v>
          </cell>
          <cell r="C77">
            <v>640.52</v>
          </cell>
        </row>
        <row r="78">
          <cell r="B78">
            <v>33639</v>
          </cell>
          <cell r="C78">
            <v>638.01</v>
          </cell>
        </row>
        <row r="79">
          <cell r="B79">
            <v>33640</v>
          </cell>
          <cell r="C79">
            <v>637.65</v>
          </cell>
        </row>
        <row r="80">
          <cell r="B80">
            <v>33641</v>
          </cell>
          <cell r="C80">
            <v>636.9</v>
          </cell>
        </row>
        <row r="81">
          <cell r="B81">
            <v>33642</v>
          </cell>
          <cell r="C81">
            <v>635.34</v>
          </cell>
        </row>
        <row r="82">
          <cell r="B82">
            <v>33643</v>
          </cell>
          <cell r="C82">
            <v>635.34</v>
          </cell>
        </row>
        <row r="83">
          <cell r="B83">
            <v>33644</v>
          </cell>
          <cell r="C83">
            <v>635.34</v>
          </cell>
        </row>
        <row r="84">
          <cell r="B84">
            <v>33645</v>
          </cell>
          <cell r="C84">
            <v>634.74</v>
          </cell>
        </row>
        <row r="85">
          <cell r="B85">
            <v>33646</v>
          </cell>
          <cell r="C85">
            <v>634.59</v>
          </cell>
        </row>
        <row r="86">
          <cell r="B86">
            <v>33647</v>
          </cell>
          <cell r="C86">
            <v>634.66999999999996</v>
          </cell>
        </row>
        <row r="87">
          <cell r="B87">
            <v>33648</v>
          </cell>
          <cell r="C87">
            <v>635.6</v>
          </cell>
        </row>
        <row r="88">
          <cell r="B88">
            <v>33649</v>
          </cell>
          <cell r="C88">
            <v>634.74</v>
          </cell>
        </row>
        <row r="89">
          <cell r="B89">
            <v>33650</v>
          </cell>
          <cell r="C89">
            <v>634.74</v>
          </cell>
        </row>
        <row r="90">
          <cell r="B90">
            <v>33651</v>
          </cell>
          <cell r="C90">
            <v>634.74</v>
          </cell>
        </row>
        <row r="91">
          <cell r="B91">
            <v>33652</v>
          </cell>
          <cell r="C91">
            <v>635.66</v>
          </cell>
        </row>
        <row r="92">
          <cell r="B92">
            <v>33653</v>
          </cell>
          <cell r="C92">
            <v>635.21</v>
          </cell>
        </row>
        <row r="93">
          <cell r="B93">
            <v>33654</v>
          </cell>
          <cell r="C93">
            <v>634.92999999999995</v>
          </cell>
        </row>
        <row r="94">
          <cell r="B94">
            <v>33655</v>
          </cell>
          <cell r="C94">
            <v>633.30999999999995</v>
          </cell>
        </row>
        <row r="95">
          <cell r="B95">
            <v>33656</v>
          </cell>
          <cell r="C95">
            <v>633.03</v>
          </cell>
        </row>
        <row r="96">
          <cell r="B96">
            <v>33657</v>
          </cell>
          <cell r="C96">
            <v>633.03</v>
          </cell>
        </row>
        <row r="97">
          <cell r="B97">
            <v>33658</v>
          </cell>
          <cell r="C97">
            <v>633.03</v>
          </cell>
        </row>
        <row r="98">
          <cell r="B98">
            <v>33659</v>
          </cell>
          <cell r="C98">
            <v>633.54999999999995</v>
          </cell>
        </row>
        <row r="99">
          <cell r="B99">
            <v>33660</v>
          </cell>
          <cell r="C99">
            <v>633.74</v>
          </cell>
        </row>
        <row r="100">
          <cell r="B100">
            <v>33661</v>
          </cell>
          <cell r="C100">
            <v>634.05999999999995</v>
          </cell>
        </row>
        <row r="101">
          <cell r="B101">
            <v>33662</v>
          </cell>
          <cell r="C101">
            <v>633.91</v>
          </cell>
        </row>
        <row r="102">
          <cell r="B102">
            <v>33663</v>
          </cell>
          <cell r="C102">
            <v>636.54</v>
          </cell>
        </row>
        <row r="103">
          <cell r="B103">
            <v>33664</v>
          </cell>
          <cell r="C103">
            <v>636.54</v>
          </cell>
        </row>
        <row r="104">
          <cell r="B104">
            <v>33665</v>
          </cell>
          <cell r="C104">
            <v>636.54</v>
          </cell>
        </row>
        <row r="105">
          <cell r="B105">
            <v>33666</v>
          </cell>
          <cell r="C105">
            <v>640.95000000000005</v>
          </cell>
        </row>
        <row r="106">
          <cell r="B106">
            <v>33667</v>
          </cell>
          <cell r="C106">
            <v>636.04999999999995</v>
          </cell>
        </row>
        <row r="107">
          <cell r="B107">
            <v>33668</v>
          </cell>
          <cell r="C107">
            <v>635.86</v>
          </cell>
        </row>
        <row r="108">
          <cell r="B108">
            <v>33669</v>
          </cell>
          <cell r="C108">
            <v>636.73</v>
          </cell>
        </row>
        <row r="109">
          <cell r="B109">
            <v>33670</v>
          </cell>
          <cell r="C109">
            <v>636.22</v>
          </cell>
        </row>
        <row r="110">
          <cell r="B110">
            <v>33671</v>
          </cell>
          <cell r="C110">
            <v>636.22</v>
          </cell>
        </row>
        <row r="111">
          <cell r="B111">
            <v>33672</v>
          </cell>
          <cell r="C111">
            <v>636.22</v>
          </cell>
        </row>
        <row r="112">
          <cell r="B112">
            <v>33673</v>
          </cell>
          <cell r="C112">
            <v>635.88</v>
          </cell>
        </row>
        <row r="113">
          <cell r="B113">
            <v>33674</v>
          </cell>
          <cell r="C113">
            <v>639.78</v>
          </cell>
        </row>
        <row r="114">
          <cell r="B114">
            <v>33675</v>
          </cell>
          <cell r="C114">
            <v>639.38</v>
          </cell>
        </row>
        <row r="115">
          <cell r="B115">
            <v>33676</v>
          </cell>
          <cell r="C115">
            <v>641.29</v>
          </cell>
        </row>
        <row r="116">
          <cell r="B116">
            <v>33677</v>
          </cell>
          <cell r="C116">
            <v>642</v>
          </cell>
        </row>
        <row r="117">
          <cell r="B117">
            <v>33678</v>
          </cell>
          <cell r="C117">
            <v>642</v>
          </cell>
        </row>
        <row r="118">
          <cell r="B118">
            <v>33679</v>
          </cell>
          <cell r="C118">
            <v>642</v>
          </cell>
        </row>
        <row r="119">
          <cell r="B119">
            <v>33680</v>
          </cell>
          <cell r="C119">
            <v>644.13</v>
          </cell>
        </row>
        <row r="120">
          <cell r="B120">
            <v>33681</v>
          </cell>
          <cell r="C120">
            <v>643.83000000000004</v>
          </cell>
        </row>
        <row r="121">
          <cell r="B121">
            <v>33682</v>
          </cell>
          <cell r="C121">
            <v>642.59</v>
          </cell>
        </row>
        <row r="122">
          <cell r="B122">
            <v>33683</v>
          </cell>
          <cell r="C122">
            <v>641.53</v>
          </cell>
        </row>
        <row r="123">
          <cell r="B123">
            <v>33684</v>
          </cell>
          <cell r="C123">
            <v>640.37</v>
          </cell>
        </row>
        <row r="124">
          <cell r="B124">
            <v>33685</v>
          </cell>
          <cell r="C124">
            <v>640.37</v>
          </cell>
        </row>
        <row r="125">
          <cell r="B125">
            <v>33686</v>
          </cell>
          <cell r="C125">
            <v>640.37</v>
          </cell>
        </row>
        <row r="126">
          <cell r="B126">
            <v>33687</v>
          </cell>
          <cell r="C126">
            <v>640.37</v>
          </cell>
        </row>
        <row r="127">
          <cell r="B127">
            <v>33688</v>
          </cell>
          <cell r="C127">
            <v>642</v>
          </cell>
        </row>
        <row r="128">
          <cell r="B128">
            <v>33689</v>
          </cell>
          <cell r="C128">
            <v>641.80999999999995</v>
          </cell>
        </row>
        <row r="129">
          <cell r="B129">
            <v>33690</v>
          </cell>
          <cell r="C129">
            <v>641.22</v>
          </cell>
        </row>
        <row r="130">
          <cell r="B130">
            <v>33691</v>
          </cell>
          <cell r="C130">
            <v>647.24</v>
          </cell>
        </row>
        <row r="131">
          <cell r="B131">
            <v>33692</v>
          </cell>
          <cell r="C131">
            <v>647.24</v>
          </cell>
        </row>
        <row r="132">
          <cell r="B132">
            <v>33693</v>
          </cell>
          <cell r="C132">
            <v>647.24</v>
          </cell>
        </row>
        <row r="133">
          <cell r="B133">
            <v>33694</v>
          </cell>
          <cell r="C133">
            <v>641.59</v>
          </cell>
        </row>
        <row r="134">
          <cell r="B134">
            <v>33695</v>
          </cell>
          <cell r="C134">
            <v>641.98</v>
          </cell>
        </row>
        <row r="135">
          <cell r="B135">
            <v>33696</v>
          </cell>
          <cell r="C135">
            <v>645.14</v>
          </cell>
        </row>
        <row r="136">
          <cell r="B136">
            <v>33697</v>
          </cell>
          <cell r="C136">
            <v>644.77</v>
          </cell>
        </row>
        <row r="137">
          <cell r="B137">
            <v>33698</v>
          </cell>
          <cell r="C137">
            <v>643.11</v>
          </cell>
        </row>
        <row r="138">
          <cell r="B138">
            <v>33699</v>
          </cell>
          <cell r="C138">
            <v>643.11</v>
          </cell>
        </row>
        <row r="139">
          <cell r="B139">
            <v>33700</v>
          </cell>
          <cell r="C139">
            <v>643.11</v>
          </cell>
        </row>
        <row r="140">
          <cell r="B140">
            <v>33701</v>
          </cell>
          <cell r="C140">
            <v>645.73</v>
          </cell>
        </row>
        <row r="141">
          <cell r="B141">
            <v>33702</v>
          </cell>
          <cell r="C141">
            <v>643.98</v>
          </cell>
        </row>
        <row r="142">
          <cell r="B142">
            <v>33703</v>
          </cell>
          <cell r="C142">
            <v>644.61</v>
          </cell>
        </row>
        <row r="143">
          <cell r="B143">
            <v>33704</v>
          </cell>
          <cell r="C143">
            <v>646.5</v>
          </cell>
        </row>
        <row r="144">
          <cell r="B144">
            <v>33705</v>
          </cell>
          <cell r="C144">
            <v>647.28</v>
          </cell>
        </row>
        <row r="145">
          <cell r="B145">
            <v>33706</v>
          </cell>
          <cell r="C145">
            <v>647.28</v>
          </cell>
        </row>
        <row r="146">
          <cell r="B146">
            <v>33707</v>
          </cell>
          <cell r="C146">
            <v>647.28</v>
          </cell>
        </row>
        <row r="147">
          <cell r="B147">
            <v>33708</v>
          </cell>
          <cell r="C147">
            <v>649.48</v>
          </cell>
        </row>
        <row r="148">
          <cell r="B148">
            <v>33709</v>
          </cell>
          <cell r="C148">
            <v>655.66</v>
          </cell>
        </row>
        <row r="149">
          <cell r="B149">
            <v>33710</v>
          </cell>
          <cell r="C149">
            <v>657.97</v>
          </cell>
        </row>
        <row r="150">
          <cell r="B150">
            <v>33711</v>
          </cell>
          <cell r="C150">
            <v>657.97</v>
          </cell>
        </row>
        <row r="151">
          <cell r="B151">
            <v>33712</v>
          </cell>
          <cell r="C151">
            <v>657.97</v>
          </cell>
        </row>
        <row r="152">
          <cell r="B152">
            <v>33713</v>
          </cell>
          <cell r="C152">
            <v>657.97</v>
          </cell>
        </row>
        <row r="153">
          <cell r="B153">
            <v>33714</v>
          </cell>
          <cell r="C153">
            <v>657.97</v>
          </cell>
        </row>
        <row r="154">
          <cell r="B154">
            <v>33715</v>
          </cell>
          <cell r="C154">
            <v>655.32000000000005</v>
          </cell>
        </row>
        <row r="155">
          <cell r="B155">
            <v>33716</v>
          </cell>
          <cell r="C155">
            <v>652.57000000000005</v>
          </cell>
        </row>
        <row r="156">
          <cell r="B156">
            <v>33717</v>
          </cell>
          <cell r="C156">
            <v>651.48</v>
          </cell>
        </row>
        <row r="157">
          <cell r="B157">
            <v>33718</v>
          </cell>
          <cell r="C157">
            <v>650.24</v>
          </cell>
        </row>
        <row r="158">
          <cell r="B158">
            <v>33719</v>
          </cell>
          <cell r="C158">
            <v>651.36</v>
          </cell>
        </row>
        <row r="159">
          <cell r="B159">
            <v>33720</v>
          </cell>
          <cell r="C159">
            <v>651.36</v>
          </cell>
        </row>
        <row r="160">
          <cell r="B160">
            <v>33721</v>
          </cell>
          <cell r="C160">
            <v>651.36</v>
          </cell>
        </row>
        <row r="161">
          <cell r="B161">
            <v>33722</v>
          </cell>
          <cell r="C161">
            <v>650.30999999999995</v>
          </cell>
        </row>
        <row r="162">
          <cell r="B162">
            <v>33723</v>
          </cell>
          <cell r="C162">
            <v>651.95000000000005</v>
          </cell>
        </row>
        <row r="163">
          <cell r="B163">
            <v>33724</v>
          </cell>
          <cell r="C163">
            <v>653.83000000000004</v>
          </cell>
        </row>
        <row r="164">
          <cell r="B164">
            <v>33725</v>
          </cell>
          <cell r="C164">
            <v>653.58000000000004</v>
          </cell>
        </row>
        <row r="165">
          <cell r="B165">
            <v>33726</v>
          </cell>
          <cell r="C165">
            <v>653.58000000000004</v>
          </cell>
        </row>
        <row r="166">
          <cell r="B166">
            <v>33727</v>
          </cell>
          <cell r="C166">
            <v>653.58000000000004</v>
          </cell>
        </row>
        <row r="167">
          <cell r="B167">
            <v>33728</v>
          </cell>
          <cell r="C167">
            <v>653.58000000000004</v>
          </cell>
        </row>
        <row r="168">
          <cell r="B168">
            <v>33729</v>
          </cell>
          <cell r="C168">
            <v>653.1</v>
          </cell>
        </row>
        <row r="169">
          <cell r="B169">
            <v>33730</v>
          </cell>
          <cell r="C169">
            <v>653.70000000000005</v>
          </cell>
        </row>
        <row r="170">
          <cell r="B170">
            <v>33731</v>
          </cell>
          <cell r="C170">
            <v>654.74</v>
          </cell>
        </row>
        <row r="171">
          <cell r="B171">
            <v>33732</v>
          </cell>
          <cell r="C171">
            <v>656.4</v>
          </cell>
        </row>
        <row r="172">
          <cell r="B172">
            <v>33733</v>
          </cell>
          <cell r="C172">
            <v>657.91</v>
          </cell>
        </row>
        <row r="173">
          <cell r="B173">
            <v>33734</v>
          </cell>
          <cell r="C173">
            <v>657.91</v>
          </cell>
        </row>
        <row r="174">
          <cell r="B174">
            <v>33735</v>
          </cell>
          <cell r="C174">
            <v>657.91</v>
          </cell>
        </row>
        <row r="175">
          <cell r="B175">
            <v>33736</v>
          </cell>
          <cell r="C175">
            <v>658.52</v>
          </cell>
        </row>
        <row r="176">
          <cell r="B176">
            <v>33737</v>
          </cell>
          <cell r="C176">
            <v>660.57</v>
          </cell>
        </row>
        <row r="177">
          <cell r="B177">
            <v>33738</v>
          </cell>
          <cell r="C177">
            <v>660.88</v>
          </cell>
        </row>
        <row r="178">
          <cell r="B178">
            <v>33739</v>
          </cell>
          <cell r="C178">
            <v>663.43</v>
          </cell>
        </row>
        <row r="179">
          <cell r="B179">
            <v>33740</v>
          </cell>
          <cell r="C179">
            <v>663.58</v>
          </cell>
        </row>
        <row r="180">
          <cell r="B180">
            <v>33741</v>
          </cell>
          <cell r="C180">
            <v>663.58</v>
          </cell>
        </row>
        <row r="181">
          <cell r="B181">
            <v>33742</v>
          </cell>
          <cell r="C181">
            <v>663.58</v>
          </cell>
        </row>
        <row r="182">
          <cell r="B182">
            <v>33743</v>
          </cell>
          <cell r="C182">
            <v>663.75</v>
          </cell>
        </row>
        <row r="183">
          <cell r="B183">
            <v>33744</v>
          </cell>
          <cell r="C183">
            <v>664.5</v>
          </cell>
        </row>
        <row r="184">
          <cell r="B184">
            <v>33745</v>
          </cell>
          <cell r="C184">
            <v>663.1</v>
          </cell>
        </row>
        <row r="185">
          <cell r="B185">
            <v>33746</v>
          </cell>
          <cell r="C185">
            <v>662.6</v>
          </cell>
        </row>
        <row r="186">
          <cell r="B186">
            <v>33747</v>
          </cell>
          <cell r="C186">
            <v>662.11</v>
          </cell>
        </row>
        <row r="187">
          <cell r="B187">
            <v>33748</v>
          </cell>
          <cell r="C187">
            <v>662.11</v>
          </cell>
        </row>
        <row r="188">
          <cell r="B188">
            <v>33749</v>
          </cell>
          <cell r="C188">
            <v>662.11</v>
          </cell>
        </row>
        <row r="189">
          <cell r="B189">
            <v>33750</v>
          </cell>
          <cell r="C189">
            <v>662.15</v>
          </cell>
        </row>
        <row r="190">
          <cell r="B190">
            <v>33751</v>
          </cell>
          <cell r="C190">
            <v>660.46</v>
          </cell>
        </row>
        <row r="191">
          <cell r="B191">
            <v>33752</v>
          </cell>
          <cell r="C191">
            <v>660.16</v>
          </cell>
        </row>
        <row r="192">
          <cell r="B192">
            <v>33753</v>
          </cell>
          <cell r="C192">
            <v>660.99</v>
          </cell>
        </row>
        <row r="193">
          <cell r="B193">
            <v>33754</v>
          </cell>
          <cell r="C193">
            <v>664.37</v>
          </cell>
        </row>
        <row r="194">
          <cell r="B194">
            <v>33755</v>
          </cell>
          <cell r="C194">
            <v>664.37</v>
          </cell>
        </row>
        <row r="195">
          <cell r="B195">
            <v>33756</v>
          </cell>
          <cell r="C195">
            <v>664.37</v>
          </cell>
        </row>
        <row r="196">
          <cell r="B196">
            <v>33757</v>
          </cell>
          <cell r="C196">
            <v>664.37</v>
          </cell>
        </row>
        <row r="197">
          <cell r="B197">
            <v>33758</v>
          </cell>
          <cell r="C197">
            <v>666.11</v>
          </cell>
        </row>
        <row r="198">
          <cell r="B198">
            <v>33759</v>
          </cell>
          <cell r="C198">
            <v>664.3</v>
          </cell>
        </row>
        <row r="199">
          <cell r="B199">
            <v>33760</v>
          </cell>
          <cell r="C199">
            <v>666.47</v>
          </cell>
        </row>
        <row r="200">
          <cell r="B200">
            <v>33761</v>
          </cell>
          <cell r="C200">
            <v>664.36</v>
          </cell>
        </row>
        <row r="201">
          <cell r="B201">
            <v>33762</v>
          </cell>
          <cell r="C201">
            <v>664.36</v>
          </cell>
        </row>
        <row r="202">
          <cell r="B202">
            <v>33763</v>
          </cell>
          <cell r="C202">
            <v>664.36</v>
          </cell>
        </row>
        <row r="203">
          <cell r="B203">
            <v>33764</v>
          </cell>
          <cell r="C203">
            <v>665.91</v>
          </cell>
        </row>
        <row r="204">
          <cell r="B204">
            <v>33765</v>
          </cell>
          <cell r="C204">
            <v>665.92</v>
          </cell>
        </row>
        <row r="205">
          <cell r="B205">
            <v>33766</v>
          </cell>
          <cell r="C205">
            <v>667.96</v>
          </cell>
        </row>
        <row r="206">
          <cell r="B206">
            <v>33767</v>
          </cell>
          <cell r="C206">
            <v>667.52</v>
          </cell>
        </row>
        <row r="207">
          <cell r="B207">
            <v>33768</v>
          </cell>
          <cell r="C207">
            <v>669.55</v>
          </cell>
        </row>
        <row r="208">
          <cell r="B208">
            <v>33769</v>
          </cell>
          <cell r="C208">
            <v>669.55</v>
          </cell>
        </row>
        <row r="209">
          <cell r="B209">
            <v>33770</v>
          </cell>
          <cell r="C209">
            <v>669.55</v>
          </cell>
        </row>
        <row r="210">
          <cell r="B210">
            <v>33771</v>
          </cell>
          <cell r="C210">
            <v>671.36</v>
          </cell>
        </row>
        <row r="211">
          <cell r="B211">
            <v>33772</v>
          </cell>
          <cell r="C211">
            <v>675.76</v>
          </cell>
        </row>
        <row r="212">
          <cell r="B212">
            <v>33773</v>
          </cell>
          <cell r="C212">
            <v>680.17</v>
          </cell>
        </row>
        <row r="213">
          <cell r="B213">
            <v>33774</v>
          </cell>
          <cell r="C213">
            <v>678.25</v>
          </cell>
        </row>
        <row r="214">
          <cell r="B214">
            <v>33775</v>
          </cell>
          <cell r="C214">
            <v>683.37</v>
          </cell>
        </row>
        <row r="215">
          <cell r="B215">
            <v>33776</v>
          </cell>
          <cell r="C215">
            <v>683.37</v>
          </cell>
        </row>
        <row r="216">
          <cell r="B216">
            <v>33777</v>
          </cell>
          <cell r="C216">
            <v>683.37</v>
          </cell>
        </row>
        <row r="217">
          <cell r="B217">
            <v>33778</v>
          </cell>
          <cell r="C217">
            <v>683.37</v>
          </cell>
        </row>
        <row r="218">
          <cell r="B218">
            <v>33779</v>
          </cell>
          <cell r="C218">
            <v>690.08</v>
          </cell>
        </row>
        <row r="219">
          <cell r="B219">
            <v>33780</v>
          </cell>
          <cell r="C219">
            <v>699.09</v>
          </cell>
        </row>
        <row r="220">
          <cell r="B220">
            <v>33781</v>
          </cell>
          <cell r="C220">
            <v>701.83</v>
          </cell>
        </row>
        <row r="221">
          <cell r="B221">
            <v>33782</v>
          </cell>
          <cell r="C221">
            <v>697.57</v>
          </cell>
        </row>
        <row r="222">
          <cell r="B222">
            <v>33783</v>
          </cell>
          <cell r="C222">
            <v>697.57</v>
          </cell>
        </row>
        <row r="223">
          <cell r="B223">
            <v>33784</v>
          </cell>
          <cell r="C223">
            <v>697.57</v>
          </cell>
        </row>
        <row r="224">
          <cell r="B224">
            <v>33785</v>
          </cell>
          <cell r="C224">
            <v>697.57</v>
          </cell>
        </row>
        <row r="225">
          <cell r="B225">
            <v>33786</v>
          </cell>
          <cell r="C225">
            <v>695.36</v>
          </cell>
        </row>
        <row r="226">
          <cell r="B226">
            <v>33787</v>
          </cell>
          <cell r="C226">
            <v>694.43</v>
          </cell>
        </row>
        <row r="227">
          <cell r="B227">
            <v>33788</v>
          </cell>
          <cell r="C227">
            <v>693.71</v>
          </cell>
        </row>
        <row r="228">
          <cell r="B228">
            <v>33789</v>
          </cell>
          <cell r="C228">
            <v>693.4</v>
          </cell>
        </row>
        <row r="229">
          <cell r="B229">
            <v>33790</v>
          </cell>
          <cell r="C229">
            <v>693.4</v>
          </cell>
        </row>
        <row r="230">
          <cell r="B230">
            <v>33791</v>
          </cell>
          <cell r="C230">
            <v>693.4</v>
          </cell>
        </row>
        <row r="231">
          <cell r="B231">
            <v>33792</v>
          </cell>
          <cell r="C231">
            <v>696.12</v>
          </cell>
        </row>
        <row r="232">
          <cell r="B232">
            <v>33793</v>
          </cell>
          <cell r="C232">
            <v>695.65</v>
          </cell>
        </row>
        <row r="233">
          <cell r="B233">
            <v>33794</v>
          </cell>
          <cell r="C233">
            <v>699.01</v>
          </cell>
        </row>
        <row r="234">
          <cell r="B234">
            <v>33795</v>
          </cell>
          <cell r="C234">
            <v>703.74</v>
          </cell>
        </row>
        <row r="235">
          <cell r="B235">
            <v>33796</v>
          </cell>
          <cell r="C235">
            <v>708.72</v>
          </cell>
        </row>
        <row r="236">
          <cell r="B236">
            <v>33797</v>
          </cell>
          <cell r="C236">
            <v>708.72</v>
          </cell>
        </row>
        <row r="237">
          <cell r="B237">
            <v>33798</v>
          </cell>
          <cell r="C237">
            <v>708.72</v>
          </cell>
        </row>
        <row r="238">
          <cell r="B238">
            <v>33799</v>
          </cell>
          <cell r="C238">
            <v>720.47</v>
          </cell>
        </row>
        <row r="239">
          <cell r="B239">
            <v>33800</v>
          </cell>
          <cell r="C239">
            <v>719.15</v>
          </cell>
        </row>
        <row r="240">
          <cell r="B240">
            <v>33801</v>
          </cell>
          <cell r="C240">
            <v>717.45</v>
          </cell>
        </row>
        <row r="241">
          <cell r="B241">
            <v>33802</v>
          </cell>
          <cell r="C241">
            <v>717.7</v>
          </cell>
        </row>
        <row r="242">
          <cell r="B242">
            <v>33803</v>
          </cell>
          <cell r="C242">
            <v>715.11</v>
          </cell>
        </row>
        <row r="243">
          <cell r="B243">
            <v>33804</v>
          </cell>
          <cell r="C243">
            <v>715.11</v>
          </cell>
        </row>
        <row r="244">
          <cell r="B244">
            <v>33805</v>
          </cell>
          <cell r="C244">
            <v>715.11</v>
          </cell>
        </row>
        <row r="245">
          <cell r="B245">
            <v>33806</v>
          </cell>
          <cell r="C245">
            <v>715.11</v>
          </cell>
        </row>
        <row r="246">
          <cell r="B246">
            <v>33807</v>
          </cell>
          <cell r="C246">
            <v>710.91</v>
          </cell>
        </row>
        <row r="247">
          <cell r="B247">
            <v>33808</v>
          </cell>
          <cell r="C247">
            <v>707.96</v>
          </cell>
        </row>
        <row r="248">
          <cell r="B248">
            <v>33809</v>
          </cell>
          <cell r="C248">
            <v>699.73</v>
          </cell>
        </row>
        <row r="249">
          <cell r="B249">
            <v>33810</v>
          </cell>
          <cell r="C249">
            <v>699.68</v>
          </cell>
        </row>
        <row r="250">
          <cell r="B250">
            <v>33811</v>
          </cell>
          <cell r="C250">
            <v>699.68</v>
          </cell>
        </row>
        <row r="251">
          <cell r="B251">
            <v>33812</v>
          </cell>
          <cell r="C251">
            <v>699.68</v>
          </cell>
        </row>
        <row r="252">
          <cell r="B252">
            <v>33813</v>
          </cell>
          <cell r="C252">
            <v>701.66</v>
          </cell>
        </row>
        <row r="253">
          <cell r="B253">
            <v>33814</v>
          </cell>
          <cell r="C253">
            <v>701.89</v>
          </cell>
        </row>
        <row r="254">
          <cell r="B254">
            <v>33815</v>
          </cell>
          <cell r="C254">
            <v>702.02</v>
          </cell>
        </row>
        <row r="255">
          <cell r="B255">
            <v>33816</v>
          </cell>
          <cell r="C255">
            <v>705.14</v>
          </cell>
        </row>
        <row r="256">
          <cell r="B256">
            <v>33817</v>
          </cell>
          <cell r="C256">
            <v>702.52</v>
          </cell>
        </row>
        <row r="257">
          <cell r="B257">
            <v>33818</v>
          </cell>
          <cell r="C257">
            <v>702.52</v>
          </cell>
        </row>
        <row r="258">
          <cell r="B258">
            <v>33819</v>
          </cell>
          <cell r="C258">
            <v>702.52</v>
          </cell>
        </row>
        <row r="259">
          <cell r="B259">
            <v>33820</v>
          </cell>
          <cell r="C259">
            <v>701.82</v>
          </cell>
        </row>
        <row r="260">
          <cell r="B260">
            <v>33821</v>
          </cell>
          <cell r="C260">
            <v>698.84</v>
          </cell>
        </row>
        <row r="261">
          <cell r="B261">
            <v>33822</v>
          </cell>
          <cell r="C261">
            <v>695.32</v>
          </cell>
        </row>
        <row r="262">
          <cell r="B262">
            <v>33823</v>
          </cell>
          <cell r="C262">
            <v>694.25</v>
          </cell>
        </row>
        <row r="263">
          <cell r="B263">
            <v>33824</v>
          </cell>
          <cell r="C263">
            <v>694.25</v>
          </cell>
        </row>
        <row r="264">
          <cell r="B264">
            <v>33825</v>
          </cell>
          <cell r="C264">
            <v>694.25</v>
          </cell>
        </row>
        <row r="265">
          <cell r="B265">
            <v>33826</v>
          </cell>
          <cell r="C265">
            <v>694.25</v>
          </cell>
        </row>
        <row r="266">
          <cell r="B266">
            <v>33827</v>
          </cell>
          <cell r="C266">
            <v>692.72</v>
          </cell>
        </row>
        <row r="267">
          <cell r="B267">
            <v>33828</v>
          </cell>
          <cell r="C267">
            <v>692.25</v>
          </cell>
        </row>
        <row r="268">
          <cell r="B268">
            <v>33829</v>
          </cell>
          <cell r="C268">
            <v>694.28</v>
          </cell>
        </row>
        <row r="269">
          <cell r="B269">
            <v>33830</v>
          </cell>
          <cell r="C269">
            <v>692.51</v>
          </cell>
        </row>
        <row r="270">
          <cell r="B270">
            <v>33831</v>
          </cell>
          <cell r="C270">
            <v>693.25</v>
          </cell>
        </row>
        <row r="271">
          <cell r="B271">
            <v>33832</v>
          </cell>
          <cell r="C271">
            <v>693.25</v>
          </cell>
        </row>
        <row r="272">
          <cell r="B272">
            <v>33833</v>
          </cell>
          <cell r="C272">
            <v>693.25</v>
          </cell>
        </row>
        <row r="273">
          <cell r="B273">
            <v>33834</v>
          </cell>
          <cell r="C273">
            <v>693.25</v>
          </cell>
        </row>
        <row r="274">
          <cell r="B274">
            <v>33835</v>
          </cell>
          <cell r="C274">
            <v>693.69</v>
          </cell>
        </row>
        <row r="275">
          <cell r="B275">
            <v>33836</v>
          </cell>
          <cell r="C275">
            <v>692.48</v>
          </cell>
        </row>
        <row r="276">
          <cell r="B276">
            <v>33837</v>
          </cell>
          <cell r="C276">
            <v>692.56</v>
          </cell>
        </row>
        <row r="277">
          <cell r="B277">
            <v>33838</v>
          </cell>
          <cell r="C277">
            <v>693.94</v>
          </cell>
        </row>
        <row r="278">
          <cell r="B278">
            <v>33839</v>
          </cell>
          <cell r="C278">
            <v>693.94</v>
          </cell>
        </row>
        <row r="279">
          <cell r="B279">
            <v>33840</v>
          </cell>
          <cell r="C279">
            <v>693.94</v>
          </cell>
        </row>
        <row r="280">
          <cell r="B280">
            <v>33841</v>
          </cell>
          <cell r="C280">
            <v>689.56</v>
          </cell>
        </row>
        <row r="281">
          <cell r="B281">
            <v>33842</v>
          </cell>
          <cell r="C281">
            <v>689.21</v>
          </cell>
        </row>
        <row r="282">
          <cell r="B282">
            <v>33843</v>
          </cell>
          <cell r="C282">
            <v>689.45</v>
          </cell>
        </row>
        <row r="283">
          <cell r="B283">
            <v>33844</v>
          </cell>
          <cell r="C283">
            <v>690.3</v>
          </cell>
        </row>
        <row r="284">
          <cell r="B284">
            <v>33845</v>
          </cell>
          <cell r="C284">
            <v>691.68</v>
          </cell>
        </row>
        <row r="285">
          <cell r="B285">
            <v>33846</v>
          </cell>
          <cell r="C285">
            <v>691.68</v>
          </cell>
        </row>
        <row r="286">
          <cell r="B286">
            <v>33847</v>
          </cell>
          <cell r="C286">
            <v>691.68</v>
          </cell>
        </row>
        <row r="287">
          <cell r="B287">
            <v>33848</v>
          </cell>
          <cell r="C287">
            <v>691.9</v>
          </cell>
        </row>
        <row r="288">
          <cell r="B288">
            <v>33849</v>
          </cell>
          <cell r="C288">
            <v>692.89</v>
          </cell>
        </row>
        <row r="289">
          <cell r="B289">
            <v>33850</v>
          </cell>
          <cell r="C289">
            <v>693.02</v>
          </cell>
        </row>
        <row r="290">
          <cell r="B290">
            <v>33851</v>
          </cell>
          <cell r="C290">
            <v>695.62</v>
          </cell>
        </row>
        <row r="291">
          <cell r="B291">
            <v>33852</v>
          </cell>
          <cell r="C291">
            <v>696.77</v>
          </cell>
        </row>
        <row r="292">
          <cell r="B292">
            <v>33853</v>
          </cell>
          <cell r="C292">
            <v>696.77</v>
          </cell>
        </row>
        <row r="293">
          <cell r="B293">
            <v>33854</v>
          </cell>
          <cell r="C293">
            <v>696.77</v>
          </cell>
        </row>
        <row r="294">
          <cell r="B294">
            <v>33855</v>
          </cell>
          <cell r="C294">
            <v>697.69</v>
          </cell>
        </row>
        <row r="295">
          <cell r="B295">
            <v>33856</v>
          </cell>
          <cell r="C295">
            <v>698.28</v>
          </cell>
        </row>
        <row r="296">
          <cell r="B296">
            <v>33857</v>
          </cell>
          <cell r="C296">
            <v>695.38</v>
          </cell>
        </row>
        <row r="297">
          <cell r="B297">
            <v>33858</v>
          </cell>
          <cell r="C297">
            <v>695.54</v>
          </cell>
        </row>
        <row r="298">
          <cell r="B298">
            <v>33859</v>
          </cell>
          <cell r="C298">
            <v>696.39</v>
          </cell>
        </row>
        <row r="299">
          <cell r="B299">
            <v>33860</v>
          </cell>
          <cell r="C299">
            <v>696.39</v>
          </cell>
        </row>
        <row r="300">
          <cell r="B300">
            <v>33861</v>
          </cell>
          <cell r="C300">
            <v>696.39</v>
          </cell>
        </row>
        <row r="301">
          <cell r="B301">
            <v>33862</v>
          </cell>
          <cell r="C301">
            <v>696.29</v>
          </cell>
        </row>
        <row r="302">
          <cell r="B302">
            <v>33863</v>
          </cell>
          <cell r="C302">
            <v>696.84</v>
          </cell>
        </row>
        <row r="303">
          <cell r="B303">
            <v>33864</v>
          </cell>
          <cell r="C303">
            <v>695.7</v>
          </cell>
        </row>
        <row r="304">
          <cell r="B304">
            <v>33865</v>
          </cell>
          <cell r="C304">
            <v>696.66</v>
          </cell>
        </row>
        <row r="305">
          <cell r="B305">
            <v>33866</v>
          </cell>
          <cell r="C305">
            <v>696.42</v>
          </cell>
        </row>
        <row r="306">
          <cell r="B306">
            <v>33867</v>
          </cell>
          <cell r="C306">
            <v>696.42</v>
          </cell>
        </row>
        <row r="307">
          <cell r="B307">
            <v>33868</v>
          </cell>
          <cell r="C307">
            <v>696.42</v>
          </cell>
        </row>
        <row r="308">
          <cell r="B308">
            <v>33869</v>
          </cell>
          <cell r="C308">
            <v>699.16</v>
          </cell>
        </row>
        <row r="309">
          <cell r="B309">
            <v>33870</v>
          </cell>
          <cell r="C309">
            <v>697.77</v>
          </cell>
        </row>
        <row r="310">
          <cell r="B310">
            <v>33871</v>
          </cell>
          <cell r="C310">
            <v>698.4</v>
          </cell>
        </row>
        <row r="311">
          <cell r="B311">
            <v>33872</v>
          </cell>
          <cell r="C311">
            <v>697.01</v>
          </cell>
        </row>
        <row r="312">
          <cell r="B312">
            <v>33873</v>
          </cell>
          <cell r="C312">
            <v>704.8</v>
          </cell>
        </row>
        <row r="313">
          <cell r="B313">
            <v>33874</v>
          </cell>
          <cell r="C313">
            <v>704.8</v>
          </cell>
        </row>
        <row r="314">
          <cell r="B314">
            <v>33875</v>
          </cell>
          <cell r="C314">
            <v>704.8</v>
          </cell>
        </row>
        <row r="315">
          <cell r="B315">
            <v>33876</v>
          </cell>
          <cell r="C315">
            <v>701</v>
          </cell>
        </row>
        <row r="316">
          <cell r="B316">
            <v>33877</v>
          </cell>
          <cell r="C316">
            <v>702.81</v>
          </cell>
        </row>
        <row r="317">
          <cell r="B317">
            <v>33878</v>
          </cell>
          <cell r="C317">
            <v>699.7</v>
          </cell>
        </row>
        <row r="318">
          <cell r="B318">
            <v>33879</v>
          </cell>
          <cell r="C318">
            <v>703.08</v>
          </cell>
        </row>
        <row r="319">
          <cell r="B319">
            <v>33880</v>
          </cell>
          <cell r="C319">
            <v>710.22</v>
          </cell>
        </row>
        <row r="320">
          <cell r="B320">
            <v>33881</v>
          </cell>
          <cell r="C320">
            <v>710.22</v>
          </cell>
        </row>
        <row r="321">
          <cell r="B321">
            <v>33882</v>
          </cell>
          <cell r="C321">
            <v>710.22</v>
          </cell>
        </row>
        <row r="322">
          <cell r="B322">
            <v>33883</v>
          </cell>
          <cell r="C322">
            <v>704.52</v>
          </cell>
        </row>
        <row r="323">
          <cell r="B323">
            <v>33884</v>
          </cell>
          <cell r="C323">
            <v>703.66</v>
          </cell>
        </row>
        <row r="324">
          <cell r="B324">
            <v>33885</v>
          </cell>
          <cell r="C324">
            <v>702.71</v>
          </cell>
        </row>
        <row r="325">
          <cell r="B325">
            <v>33886</v>
          </cell>
          <cell r="C325">
            <v>704.06</v>
          </cell>
        </row>
        <row r="326">
          <cell r="B326">
            <v>33887</v>
          </cell>
          <cell r="C326">
            <v>701.88</v>
          </cell>
        </row>
        <row r="327">
          <cell r="B327">
            <v>33888</v>
          </cell>
          <cell r="C327">
            <v>701.88</v>
          </cell>
        </row>
        <row r="328">
          <cell r="B328">
            <v>33889</v>
          </cell>
          <cell r="C328">
            <v>701.88</v>
          </cell>
        </row>
        <row r="329">
          <cell r="B329">
            <v>33890</v>
          </cell>
          <cell r="C329">
            <v>701.88</v>
          </cell>
        </row>
        <row r="330">
          <cell r="B330">
            <v>33891</v>
          </cell>
          <cell r="C330">
            <v>702.48</v>
          </cell>
        </row>
        <row r="331">
          <cell r="B331">
            <v>33892</v>
          </cell>
          <cell r="C331">
            <v>705.52</v>
          </cell>
        </row>
        <row r="332">
          <cell r="B332">
            <v>33893</v>
          </cell>
          <cell r="C332">
            <v>708.21</v>
          </cell>
        </row>
        <row r="333">
          <cell r="B333">
            <v>33894</v>
          </cell>
          <cell r="C333">
            <v>707.13</v>
          </cell>
        </row>
        <row r="334">
          <cell r="B334">
            <v>33895</v>
          </cell>
          <cell r="C334">
            <v>707.13</v>
          </cell>
        </row>
        <row r="335">
          <cell r="B335">
            <v>33896</v>
          </cell>
          <cell r="C335">
            <v>707.13</v>
          </cell>
        </row>
        <row r="336">
          <cell r="B336">
            <v>33897</v>
          </cell>
          <cell r="C336">
            <v>707.35</v>
          </cell>
        </row>
        <row r="337">
          <cell r="B337">
            <v>33898</v>
          </cell>
          <cell r="C337">
            <v>706.06</v>
          </cell>
        </row>
        <row r="338">
          <cell r="B338">
            <v>33899</v>
          </cell>
          <cell r="C338">
            <v>709.22</v>
          </cell>
        </row>
        <row r="339">
          <cell r="B339">
            <v>33900</v>
          </cell>
          <cell r="C339">
            <v>710.19</v>
          </cell>
        </row>
        <row r="340">
          <cell r="B340">
            <v>33901</v>
          </cell>
          <cell r="C340">
            <v>712.04</v>
          </cell>
        </row>
        <row r="341">
          <cell r="B341">
            <v>33902</v>
          </cell>
          <cell r="C341">
            <v>712.04</v>
          </cell>
        </row>
        <row r="342">
          <cell r="B342">
            <v>33903</v>
          </cell>
          <cell r="C342">
            <v>712.04</v>
          </cell>
        </row>
        <row r="343">
          <cell r="B343">
            <v>33904</v>
          </cell>
          <cell r="C343">
            <v>713.55</v>
          </cell>
        </row>
        <row r="344">
          <cell r="B344">
            <v>33905</v>
          </cell>
          <cell r="C344">
            <v>716.39</v>
          </cell>
        </row>
        <row r="345">
          <cell r="B345">
            <v>33906</v>
          </cell>
          <cell r="C345">
            <v>715.31</v>
          </cell>
        </row>
        <row r="346">
          <cell r="B346">
            <v>33907</v>
          </cell>
          <cell r="C346">
            <v>717.37</v>
          </cell>
        </row>
        <row r="347">
          <cell r="B347">
            <v>33908</v>
          </cell>
          <cell r="C347">
            <v>716.88</v>
          </cell>
        </row>
        <row r="348">
          <cell r="B348">
            <v>33909</v>
          </cell>
          <cell r="C348">
            <v>716.88</v>
          </cell>
        </row>
        <row r="349">
          <cell r="B349">
            <v>33910</v>
          </cell>
          <cell r="C349">
            <v>716.88</v>
          </cell>
        </row>
        <row r="350">
          <cell r="B350">
            <v>33911</v>
          </cell>
          <cell r="C350">
            <v>716.88</v>
          </cell>
        </row>
        <row r="351">
          <cell r="B351">
            <v>33912</v>
          </cell>
          <cell r="C351">
            <v>718.98</v>
          </cell>
        </row>
        <row r="352">
          <cell r="B352">
            <v>33913</v>
          </cell>
          <cell r="C352">
            <v>719.21</v>
          </cell>
        </row>
        <row r="353">
          <cell r="B353">
            <v>33914</v>
          </cell>
          <cell r="C353">
            <v>720.96</v>
          </cell>
        </row>
        <row r="354">
          <cell r="B354">
            <v>33915</v>
          </cell>
          <cell r="C354">
            <v>722.57</v>
          </cell>
        </row>
        <row r="355">
          <cell r="B355">
            <v>33916</v>
          </cell>
          <cell r="C355">
            <v>722.57</v>
          </cell>
        </row>
        <row r="356">
          <cell r="B356">
            <v>33917</v>
          </cell>
          <cell r="C356">
            <v>722.57</v>
          </cell>
        </row>
        <row r="357">
          <cell r="B357">
            <v>33918</v>
          </cell>
          <cell r="C357">
            <v>720.48</v>
          </cell>
        </row>
        <row r="358">
          <cell r="B358">
            <v>33919</v>
          </cell>
          <cell r="C358">
            <v>722.37</v>
          </cell>
        </row>
        <row r="359">
          <cell r="B359">
            <v>33920</v>
          </cell>
          <cell r="C359">
            <v>723.72</v>
          </cell>
        </row>
        <row r="360">
          <cell r="B360">
            <v>33921</v>
          </cell>
          <cell r="C360">
            <v>722.72</v>
          </cell>
        </row>
        <row r="361">
          <cell r="B361">
            <v>33922</v>
          </cell>
          <cell r="C361">
            <v>724.07</v>
          </cell>
        </row>
        <row r="362">
          <cell r="B362">
            <v>33923</v>
          </cell>
          <cell r="C362">
            <v>724.07</v>
          </cell>
        </row>
        <row r="363">
          <cell r="B363">
            <v>33924</v>
          </cell>
          <cell r="C363">
            <v>724.07</v>
          </cell>
        </row>
        <row r="364">
          <cell r="B364">
            <v>33925</v>
          </cell>
          <cell r="C364">
            <v>724.07</v>
          </cell>
        </row>
        <row r="365">
          <cell r="B365">
            <v>33926</v>
          </cell>
          <cell r="C365">
            <v>730.11</v>
          </cell>
        </row>
        <row r="366">
          <cell r="B366">
            <v>33927</v>
          </cell>
          <cell r="C366">
            <v>724.97</v>
          </cell>
        </row>
        <row r="367">
          <cell r="B367">
            <v>33928</v>
          </cell>
          <cell r="C367">
            <v>724.9</v>
          </cell>
        </row>
        <row r="368">
          <cell r="B368">
            <v>33929</v>
          </cell>
          <cell r="C368">
            <v>721.98</v>
          </cell>
        </row>
        <row r="369">
          <cell r="B369">
            <v>33930</v>
          </cell>
          <cell r="C369">
            <v>721.98</v>
          </cell>
        </row>
        <row r="370">
          <cell r="B370">
            <v>33931</v>
          </cell>
          <cell r="C370">
            <v>721.98</v>
          </cell>
        </row>
        <row r="371">
          <cell r="B371">
            <v>33932</v>
          </cell>
          <cell r="C371">
            <v>726.97</v>
          </cell>
        </row>
        <row r="372">
          <cell r="B372">
            <v>33933</v>
          </cell>
          <cell r="C372">
            <v>720.63</v>
          </cell>
        </row>
        <row r="373">
          <cell r="B373">
            <v>33934</v>
          </cell>
          <cell r="C373">
            <v>721.47</v>
          </cell>
        </row>
        <row r="374">
          <cell r="B374">
            <v>33935</v>
          </cell>
          <cell r="C374">
            <v>722.61</v>
          </cell>
        </row>
        <row r="375">
          <cell r="B375">
            <v>33936</v>
          </cell>
          <cell r="C375">
            <v>725.45</v>
          </cell>
        </row>
        <row r="376">
          <cell r="B376">
            <v>33937</v>
          </cell>
          <cell r="C376">
            <v>725.45</v>
          </cell>
        </row>
        <row r="377">
          <cell r="B377">
            <v>33938</v>
          </cell>
          <cell r="C377">
            <v>725.45</v>
          </cell>
        </row>
        <row r="378">
          <cell r="B378">
            <v>33939</v>
          </cell>
          <cell r="C378">
            <v>729.42</v>
          </cell>
        </row>
        <row r="379">
          <cell r="B379">
            <v>33940</v>
          </cell>
          <cell r="C379">
            <v>725.75</v>
          </cell>
        </row>
        <row r="380">
          <cell r="B380">
            <v>33941</v>
          </cell>
          <cell r="C380">
            <v>729.74</v>
          </cell>
        </row>
        <row r="381">
          <cell r="B381">
            <v>33942</v>
          </cell>
          <cell r="C381">
            <v>738.19</v>
          </cell>
        </row>
        <row r="382">
          <cell r="B382">
            <v>33943</v>
          </cell>
          <cell r="C382">
            <v>736.29</v>
          </cell>
        </row>
        <row r="383">
          <cell r="B383">
            <v>33944</v>
          </cell>
          <cell r="C383">
            <v>736.29</v>
          </cell>
        </row>
        <row r="384">
          <cell r="B384">
            <v>33945</v>
          </cell>
          <cell r="C384">
            <v>736.29</v>
          </cell>
        </row>
        <row r="385">
          <cell r="B385">
            <v>33946</v>
          </cell>
          <cell r="C385">
            <v>732.11</v>
          </cell>
        </row>
        <row r="386">
          <cell r="B386">
            <v>33947</v>
          </cell>
          <cell r="C386">
            <v>732.11</v>
          </cell>
        </row>
        <row r="387">
          <cell r="B387">
            <v>33948</v>
          </cell>
          <cell r="C387">
            <v>732.4</v>
          </cell>
        </row>
        <row r="388">
          <cell r="B388">
            <v>33949</v>
          </cell>
          <cell r="C388">
            <v>727.21</v>
          </cell>
        </row>
        <row r="389">
          <cell r="B389">
            <v>33950</v>
          </cell>
          <cell r="C389">
            <v>729.8</v>
          </cell>
        </row>
        <row r="390">
          <cell r="B390">
            <v>33951</v>
          </cell>
          <cell r="C390">
            <v>729.8</v>
          </cell>
        </row>
        <row r="391">
          <cell r="B391">
            <v>33952</v>
          </cell>
          <cell r="C391">
            <v>729.8</v>
          </cell>
        </row>
        <row r="392">
          <cell r="B392">
            <v>33953</v>
          </cell>
          <cell r="C392">
            <v>732.69</v>
          </cell>
        </row>
        <row r="393">
          <cell r="B393">
            <v>33954</v>
          </cell>
          <cell r="C393">
            <v>736.2</v>
          </cell>
        </row>
        <row r="394">
          <cell r="B394">
            <v>33955</v>
          </cell>
          <cell r="C394">
            <v>734.98</v>
          </cell>
        </row>
        <row r="395">
          <cell r="B395">
            <v>33956</v>
          </cell>
          <cell r="C395">
            <v>732.54</v>
          </cell>
        </row>
        <row r="396">
          <cell r="B396">
            <v>33957</v>
          </cell>
          <cell r="C396">
            <v>735.31</v>
          </cell>
        </row>
        <row r="397">
          <cell r="B397">
            <v>33958</v>
          </cell>
          <cell r="C397">
            <v>735.31</v>
          </cell>
        </row>
        <row r="398">
          <cell r="B398">
            <v>33959</v>
          </cell>
          <cell r="C398">
            <v>735.31</v>
          </cell>
        </row>
        <row r="399">
          <cell r="B399">
            <v>33960</v>
          </cell>
          <cell r="C399">
            <v>736.82</v>
          </cell>
        </row>
        <row r="400">
          <cell r="B400">
            <v>33961</v>
          </cell>
          <cell r="C400">
            <v>735</v>
          </cell>
        </row>
        <row r="401">
          <cell r="B401">
            <v>33962</v>
          </cell>
          <cell r="C401">
            <v>735.19</v>
          </cell>
        </row>
        <row r="402">
          <cell r="B402">
            <v>33963</v>
          </cell>
          <cell r="C402">
            <v>735.19</v>
          </cell>
        </row>
        <row r="403">
          <cell r="B403">
            <v>33964</v>
          </cell>
          <cell r="C403">
            <v>735.19</v>
          </cell>
        </row>
        <row r="404">
          <cell r="B404">
            <v>33965</v>
          </cell>
          <cell r="C404">
            <v>735.19</v>
          </cell>
        </row>
        <row r="405">
          <cell r="B405">
            <v>33966</v>
          </cell>
          <cell r="C405">
            <v>735.19</v>
          </cell>
        </row>
        <row r="406">
          <cell r="B406">
            <v>33967</v>
          </cell>
          <cell r="C406">
            <v>737.44</v>
          </cell>
        </row>
        <row r="407">
          <cell r="B407">
            <v>33968</v>
          </cell>
          <cell r="C407">
            <v>737.98</v>
          </cell>
        </row>
        <row r="408">
          <cell r="B408">
            <v>33969</v>
          </cell>
          <cell r="C408">
            <v>737.98</v>
          </cell>
        </row>
        <row r="409">
          <cell r="B409">
            <v>33970</v>
          </cell>
          <cell r="C409">
            <v>737.98</v>
          </cell>
        </row>
        <row r="410">
          <cell r="B410">
            <v>33971</v>
          </cell>
          <cell r="C410">
            <v>737.98</v>
          </cell>
        </row>
        <row r="411">
          <cell r="B411">
            <v>33972</v>
          </cell>
          <cell r="C411">
            <v>737.98</v>
          </cell>
        </row>
        <row r="412">
          <cell r="B412">
            <v>33973</v>
          </cell>
          <cell r="C412">
            <v>737.98</v>
          </cell>
        </row>
        <row r="413">
          <cell r="B413">
            <v>33974</v>
          </cell>
          <cell r="C413">
            <v>737.55</v>
          </cell>
        </row>
        <row r="414">
          <cell r="B414">
            <v>33975</v>
          </cell>
          <cell r="C414">
            <v>738.65</v>
          </cell>
        </row>
        <row r="415">
          <cell r="B415">
            <v>33976</v>
          </cell>
          <cell r="C415">
            <v>740.08</v>
          </cell>
        </row>
        <row r="416">
          <cell r="B416">
            <v>33977</v>
          </cell>
          <cell r="C416">
            <v>742.61</v>
          </cell>
        </row>
        <row r="417">
          <cell r="B417">
            <v>33978</v>
          </cell>
          <cell r="C417">
            <v>746.63</v>
          </cell>
        </row>
        <row r="418">
          <cell r="B418">
            <v>33979</v>
          </cell>
          <cell r="C418">
            <v>746.63</v>
          </cell>
        </row>
        <row r="419">
          <cell r="B419">
            <v>33980</v>
          </cell>
          <cell r="C419">
            <v>746.63</v>
          </cell>
        </row>
        <row r="420">
          <cell r="B420">
            <v>33981</v>
          </cell>
          <cell r="C420">
            <v>746.63</v>
          </cell>
        </row>
        <row r="421">
          <cell r="B421">
            <v>33982</v>
          </cell>
          <cell r="C421">
            <v>749.63</v>
          </cell>
        </row>
        <row r="422">
          <cell r="B422">
            <v>33983</v>
          </cell>
          <cell r="C422">
            <v>748.98</v>
          </cell>
        </row>
        <row r="423">
          <cell r="B423">
            <v>33984</v>
          </cell>
          <cell r="C423">
            <v>746.71</v>
          </cell>
        </row>
        <row r="424">
          <cell r="B424">
            <v>33985</v>
          </cell>
          <cell r="C424">
            <v>746.39</v>
          </cell>
        </row>
        <row r="425">
          <cell r="B425">
            <v>33986</v>
          </cell>
          <cell r="C425">
            <v>746.39</v>
          </cell>
        </row>
        <row r="426">
          <cell r="B426">
            <v>33987</v>
          </cell>
          <cell r="C426">
            <v>746.39</v>
          </cell>
        </row>
        <row r="427">
          <cell r="B427">
            <v>33988</v>
          </cell>
          <cell r="C427">
            <v>747.2</v>
          </cell>
        </row>
        <row r="428">
          <cell r="B428">
            <v>33989</v>
          </cell>
          <cell r="C428">
            <v>748.07</v>
          </cell>
        </row>
        <row r="429">
          <cell r="B429">
            <v>33990</v>
          </cell>
          <cell r="C429">
            <v>750.06</v>
          </cell>
        </row>
        <row r="430">
          <cell r="B430">
            <v>33991</v>
          </cell>
          <cell r="C430">
            <v>750</v>
          </cell>
        </row>
        <row r="431">
          <cell r="B431">
            <v>33992</v>
          </cell>
          <cell r="C431">
            <v>748.56</v>
          </cell>
        </row>
        <row r="432">
          <cell r="B432">
            <v>33993</v>
          </cell>
          <cell r="C432">
            <v>748.56</v>
          </cell>
        </row>
        <row r="433">
          <cell r="B433">
            <v>33994</v>
          </cell>
          <cell r="C433">
            <v>748.56</v>
          </cell>
        </row>
        <row r="434">
          <cell r="B434">
            <v>33995</v>
          </cell>
          <cell r="C434">
            <v>747.25</v>
          </cell>
        </row>
        <row r="435">
          <cell r="B435">
            <v>33996</v>
          </cell>
          <cell r="C435">
            <v>747.13</v>
          </cell>
        </row>
        <row r="436">
          <cell r="B436">
            <v>33997</v>
          </cell>
          <cell r="C436">
            <v>746.21</v>
          </cell>
        </row>
        <row r="437">
          <cell r="B437">
            <v>33998</v>
          </cell>
          <cell r="C437">
            <v>745.14</v>
          </cell>
        </row>
        <row r="438">
          <cell r="B438">
            <v>33999</v>
          </cell>
          <cell r="C438">
            <v>746.05</v>
          </cell>
        </row>
        <row r="439">
          <cell r="B439">
            <v>34000</v>
          </cell>
          <cell r="C439">
            <v>746.05</v>
          </cell>
        </row>
        <row r="440">
          <cell r="B440">
            <v>34001</v>
          </cell>
          <cell r="C440">
            <v>746.05</v>
          </cell>
        </row>
        <row r="441">
          <cell r="B441">
            <v>34002</v>
          </cell>
          <cell r="C441">
            <v>745.27</v>
          </cell>
        </row>
        <row r="442">
          <cell r="B442">
            <v>34003</v>
          </cell>
          <cell r="C442">
            <v>745.64</v>
          </cell>
        </row>
        <row r="443">
          <cell r="B443">
            <v>34004</v>
          </cell>
          <cell r="C443">
            <v>745.73</v>
          </cell>
        </row>
        <row r="444">
          <cell r="B444">
            <v>34005</v>
          </cell>
          <cell r="C444">
            <v>745.79</v>
          </cell>
        </row>
        <row r="445">
          <cell r="B445">
            <v>34006</v>
          </cell>
          <cell r="C445">
            <v>746.56</v>
          </cell>
        </row>
        <row r="446">
          <cell r="B446">
            <v>34007</v>
          </cell>
          <cell r="C446">
            <v>746.56</v>
          </cell>
        </row>
        <row r="447">
          <cell r="B447">
            <v>34008</v>
          </cell>
          <cell r="C447">
            <v>746.56</v>
          </cell>
        </row>
        <row r="448">
          <cell r="B448">
            <v>34009</v>
          </cell>
          <cell r="C448">
            <v>745.45</v>
          </cell>
        </row>
        <row r="449">
          <cell r="B449">
            <v>34010</v>
          </cell>
          <cell r="C449">
            <v>745.49</v>
          </cell>
        </row>
        <row r="450">
          <cell r="B450">
            <v>34011</v>
          </cell>
          <cell r="C450">
            <v>745.38</v>
          </cell>
        </row>
        <row r="451">
          <cell r="B451">
            <v>34012</v>
          </cell>
          <cell r="C451">
            <v>748.22</v>
          </cell>
        </row>
        <row r="452">
          <cell r="B452">
            <v>34013</v>
          </cell>
          <cell r="C452">
            <v>748.88</v>
          </cell>
        </row>
        <row r="453">
          <cell r="B453">
            <v>34014</v>
          </cell>
          <cell r="C453">
            <v>748.88</v>
          </cell>
        </row>
        <row r="454">
          <cell r="B454">
            <v>34015</v>
          </cell>
          <cell r="C454">
            <v>748.88</v>
          </cell>
        </row>
        <row r="455">
          <cell r="B455">
            <v>34016</v>
          </cell>
          <cell r="C455">
            <v>748.18</v>
          </cell>
        </row>
        <row r="456">
          <cell r="B456">
            <v>34017</v>
          </cell>
          <cell r="C456">
            <v>749.69</v>
          </cell>
        </row>
        <row r="457">
          <cell r="B457">
            <v>34018</v>
          </cell>
          <cell r="C457">
            <v>750.75</v>
          </cell>
        </row>
        <row r="458">
          <cell r="B458">
            <v>34019</v>
          </cell>
          <cell r="C458">
            <v>752.47</v>
          </cell>
        </row>
        <row r="459">
          <cell r="B459">
            <v>34020</v>
          </cell>
          <cell r="C459">
            <v>751.96</v>
          </cell>
        </row>
        <row r="460">
          <cell r="B460">
            <v>34021</v>
          </cell>
          <cell r="C460">
            <v>751.96</v>
          </cell>
        </row>
        <row r="461">
          <cell r="B461">
            <v>34022</v>
          </cell>
          <cell r="C461">
            <v>751.96</v>
          </cell>
        </row>
        <row r="462">
          <cell r="B462">
            <v>34023</v>
          </cell>
          <cell r="C462">
            <v>752.52</v>
          </cell>
        </row>
        <row r="463">
          <cell r="B463">
            <v>34024</v>
          </cell>
          <cell r="C463">
            <v>753.33</v>
          </cell>
        </row>
        <row r="464">
          <cell r="B464">
            <v>34025</v>
          </cell>
          <cell r="C464">
            <v>755.07</v>
          </cell>
        </row>
        <row r="465">
          <cell r="B465">
            <v>34026</v>
          </cell>
          <cell r="C465">
            <v>759.2</v>
          </cell>
        </row>
        <row r="466">
          <cell r="B466">
            <v>34027</v>
          </cell>
          <cell r="C466">
            <v>758.03</v>
          </cell>
        </row>
        <row r="467">
          <cell r="B467">
            <v>34028</v>
          </cell>
          <cell r="C467">
            <v>758.03</v>
          </cell>
        </row>
        <row r="468">
          <cell r="B468">
            <v>34029</v>
          </cell>
          <cell r="C468">
            <v>758.03</v>
          </cell>
        </row>
        <row r="469">
          <cell r="B469">
            <v>34030</v>
          </cell>
          <cell r="C469">
            <v>757.89</v>
          </cell>
        </row>
        <row r="470">
          <cell r="B470">
            <v>34031</v>
          </cell>
          <cell r="C470">
            <v>760.71</v>
          </cell>
        </row>
        <row r="471">
          <cell r="B471">
            <v>34032</v>
          </cell>
          <cell r="C471">
            <v>762.68</v>
          </cell>
        </row>
        <row r="472">
          <cell r="B472">
            <v>34033</v>
          </cell>
          <cell r="C472">
            <v>762.04</v>
          </cell>
        </row>
        <row r="473">
          <cell r="B473">
            <v>34034</v>
          </cell>
          <cell r="C473">
            <v>762.2</v>
          </cell>
        </row>
        <row r="474">
          <cell r="B474">
            <v>34035</v>
          </cell>
          <cell r="C474">
            <v>762.2</v>
          </cell>
        </row>
        <row r="475">
          <cell r="B475">
            <v>34036</v>
          </cell>
          <cell r="C475">
            <v>762.2</v>
          </cell>
        </row>
        <row r="476">
          <cell r="B476">
            <v>34037</v>
          </cell>
          <cell r="C476">
            <v>763.38</v>
          </cell>
        </row>
        <row r="477">
          <cell r="B477">
            <v>34038</v>
          </cell>
          <cell r="C477">
            <v>763.9</v>
          </cell>
        </row>
        <row r="478">
          <cell r="B478">
            <v>34039</v>
          </cell>
          <cell r="C478">
            <v>764.74</v>
          </cell>
        </row>
        <row r="479">
          <cell r="B479">
            <v>34040</v>
          </cell>
          <cell r="C479">
            <v>765.19</v>
          </cell>
        </row>
        <row r="480">
          <cell r="B480">
            <v>34041</v>
          </cell>
          <cell r="C480">
            <v>764.79</v>
          </cell>
        </row>
        <row r="481">
          <cell r="B481">
            <v>34042</v>
          </cell>
          <cell r="C481">
            <v>764.79</v>
          </cell>
        </row>
        <row r="482">
          <cell r="B482">
            <v>34043</v>
          </cell>
          <cell r="C482">
            <v>764.79</v>
          </cell>
        </row>
        <row r="483">
          <cell r="B483">
            <v>34044</v>
          </cell>
          <cell r="C483">
            <v>764.29</v>
          </cell>
        </row>
        <row r="484">
          <cell r="B484">
            <v>34045</v>
          </cell>
          <cell r="C484">
            <v>765.06</v>
          </cell>
        </row>
        <row r="485">
          <cell r="B485">
            <v>34046</v>
          </cell>
          <cell r="C485">
            <v>766.12</v>
          </cell>
        </row>
        <row r="486">
          <cell r="B486">
            <v>34047</v>
          </cell>
          <cell r="C486">
            <v>766.42</v>
          </cell>
        </row>
        <row r="487">
          <cell r="B487">
            <v>34048</v>
          </cell>
          <cell r="C487">
            <v>766.84</v>
          </cell>
        </row>
        <row r="488">
          <cell r="B488">
            <v>34049</v>
          </cell>
          <cell r="C488">
            <v>766.84</v>
          </cell>
        </row>
        <row r="489">
          <cell r="B489">
            <v>34050</v>
          </cell>
          <cell r="C489">
            <v>766.84</v>
          </cell>
        </row>
        <row r="490">
          <cell r="B490">
            <v>34051</v>
          </cell>
          <cell r="C490">
            <v>766.84</v>
          </cell>
        </row>
        <row r="491">
          <cell r="B491">
            <v>34052</v>
          </cell>
          <cell r="C491">
            <v>766.63</v>
          </cell>
        </row>
        <row r="492">
          <cell r="B492">
            <v>34053</v>
          </cell>
          <cell r="C492">
            <v>766.91</v>
          </cell>
        </row>
        <row r="493">
          <cell r="B493">
            <v>34054</v>
          </cell>
          <cell r="C493">
            <v>767.99</v>
          </cell>
        </row>
        <row r="494">
          <cell r="B494">
            <v>34055</v>
          </cell>
          <cell r="C494">
            <v>767.4</v>
          </cell>
        </row>
        <row r="495">
          <cell r="B495">
            <v>34056</v>
          </cell>
          <cell r="C495">
            <v>767.4</v>
          </cell>
        </row>
        <row r="496">
          <cell r="B496">
            <v>34057</v>
          </cell>
          <cell r="C496">
            <v>767.4</v>
          </cell>
        </row>
        <row r="497">
          <cell r="B497">
            <v>34058</v>
          </cell>
          <cell r="C497">
            <v>766.79</v>
          </cell>
        </row>
        <row r="498">
          <cell r="B498">
            <v>34059</v>
          </cell>
          <cell r="C498">
            <v>766.41</v>
          </cell>
        </row>
        <row r="499">
          <cell r="B499">
            <v>34060</v>
          </cell>
          <cell r="C499">
            <v>766.44</v>
          </cell>
        </row>
        <row r="500">
          <cell r="B500">
            <v>34061</v>
          </cell>
          <cell r="C500">
            <v>767.98</v>
          </cell>
        </row>
        <row r="501">
          <cell r="B501">
            <v>34062</v>
          </cell>
          <cell r="C501">
            <v>768.46</v>
          </cell>
        </row>
        <row r="502">
          <cell r="B502">
            <v>34063</v>
          </cell>
          <cell r="C502">
            <v>768.46</v>
          </cell>
        </row>
        <row r="503">
          <cell r="B503">
            <v>34064</v>
          </cell>
          <cell r="C503">
            <v>768.46</v>
          </cell>
        </row>
        <row r="504">
          <cell r="B504">
            <v>34065</v>
          </cell>
          <cell r="C504">
            <v>768.31</v>
          </cell>
        </row>
        <row r="505">
          <cell r="B505">
            <v>34066</v>
          </cell>
          <cell r="C505">
            <v>768.52</v>
          </cell>
        </row>
        <row r="506">
          <cell r="B506">
            <v>34067</v>
          </cell>
          <cell r="C506">
            <v>768.6</v>
          </cell>
        </row>
        <row r="507">
          <cell r="B507">
            <v>34068</v>
          </cell>
          <cell r="C507">
            <v>768.6</v>
          </cell>
        </row>
        <row r="508">
          <cell r="B508">
            <v>34069</v>
          </cell>
          <cell r="C508">
            <v>768.6</v>
          </cell>
        </row>
        <row r="509">
          <cell r="B509">
            <v>34070</v>
          </cell>
          <cell r="C509">
            <v>768.6</v>
          </cell>
        </row>
        <row r="510">
          <cell r="B510">
            <v>34071</v>
          </cell>
          <cell r="C510">
            <v>768.6</v>
          </cell>
        </row>
        <row r="511">
          <cell r="B511">
            <v>34072</v>
          </cell>
          <cell r="C511">
            <v>769.34</v>
          </cell>
        </row>
        <row r="512">
          <cell r="B512">
            <v>34073</v>
          </cell>
          <cell r="C512">
            <v>769.8</v>
          </cell>
        </row>
        <row r="513">
          <cell r="B513">
            <v>34074</v>
          </cell>
          <cell r="C513">
            <v>771.56</v>
          </cell>
        </row>
        <row r="514">
          <cell r="B514">
            <v>34075</v>
          </cell>
          <cell r="C514">
            <v>772.71</v>
          </cell>
        </row>
        <row r="515">
          <cell r="B515">
            <v>34076</v>
          </cell>
          <cell r="C515">
            <v>773.22</v>
          </cell>
        </row>
        <row r="516">
          <cell r="B516">
            <v>34077</v>
          </cell>
          <cell r="C516">
            <v>773.22</v>
          </cell>
        </row>
        <row r="517">
          <cell r="B517">
            <v>34078</v>
          </cell>
          <cell r="C517">
            <v>773.22</v>
          </cell>
        </row>
        <row r="518">
          <cell r="B518">
            <v>34079</v>
          </cell>
          <cell r="C518">
            <v>773.7</v>
          </cell>
        </row>
        <row r="519">
          <cell r="B519">
            <v>34080</v>
          </cell>
          <cell r="C519">
            <v>773.97</v>
          </cell>
        </row>
        <row r="520">
          <cell r="B520">
            <v>34081</v>
          </cell>
          <cell r="C520">
            <v>774.34</v>
          </cell>
        </row>
        <row r="521">
          <cell r="B521">
            <v>34082</v>
          </cell>
          <cell r="C521">
            <v>775.05</v>
          </cell>
        </row>
        <row r="522">
          <cell r="B522">
            <v>34083</v>
          </cell>
          <cell r="C522">
            <v>775.32</v>
          </cell>
        </row>
        <row r="523">
          <cell r="B523">
            <v>34084</v>
          </cell>
          <cell r="C523">
            <v>775.32</v>
          </cell>
        </row>
        <row r="524">
          <cell r="B524">
            <v>34085</v>
          </cell>
          <cell r="C524">
            <v>775.32</v>
          </cell>
        </row>
        <row r="525">
          <cell r="B525">
            <v>34086</v>
          </cell>
          <cell r="C525">
            <v>775.2</v>
          </cell>
        </row>
        <row r="526">
          <cell r="B526">
            <v>34087</v>
          </cell>
          <cell r="C526">
            <v>774.52</v>
          </cell>
        </row>
        <row r="527">
          <cell r="B527">
            <v>34088</v>
          </cell>
          <cell r="C527">
            <v>773.78</v>
          </cell>
        </row>
        <row r="528">
          <cell r="B528">
            <v>34089</v>
          </cell>
          <cell r="C528">
            <v>774.94</v>
          </cell>
        </row>
        <row r="529">
          <cell r="B529">
            <v>34090</v>
          </cell>
          <cell r="C529">
            <v>773.82</v>
          </cell>
        </row>
        <row r="530">
          <cell r="B530">
            <v>34091</v>
          </cell>
          <cell r="C530">
            <v>773.82</v>
          </cell>
        </row>
        <row r="531">
          <cell r="B531">
            <v>34092</v>
          </cell>
          <cell r="C531">
            <v>773.82</v>
          </cell>
        </row>
        <row r="532">
          <cell r="B532">
            <v>34093</v>
          </cell>
          <cell r="C532">
            <v>775.53</v>
          </cell>
        </row>
        <row r="533">
          <cell r="B533">
            <v>34094</v>
          </cell>
          <cell r="C533">
            <v>776.99</v>
          </cell>
        </row>
        <row r="534">
          <cell r="B534">
            <v>34095</v>
          </cell>
          <cell r="C534">
            <v>777.88</v>
          </cell>
        </row>
        <row r="535">
          <cell r="B535">
            <v>34096</v>
          </cell>
          <cell r="C535">
            <v>778.17</v>
          </cell>
        </row>
        <row r="536">
          <cell r="B536">
            <v>34097</v>
          </cell>
          <cell r="C536">
            <v>777.17</v>
          </cell>
        </row>
        <row r="537">
          <cell r="B537">
            <v>34098</v>
          </cell>
          <cell r="C537">
            <v>777.17</v>
          </cell>
        </row>
        <row r="538">
          <cell r="B538">
            <v>34099</v>
          </cell>
          <cell r="C538">
            <v>777.17</v>
          </cell>
        </row>
        <row r="539">
          <cell r="B539">
            <v>34100</v>
          </cell>
          <cell r="C539">
            <v>777.75</v>
          </cell>
        </row>
        <row r="540">
          <cell r="B540">
            <v>34101</v>
          </cell>
          <cell r="C540">
            <v>779.41</v>
          </cell>
        </row>
        <row r="541">
          <cell r="B541">
            <v>34102</v>
          </cell>
          <cell r="C541">
            <v>780.49</v>
          </cell>
        </row>
        <row r="542">
          <cell r="B542">
            <v>34103</v>
          </cell>
          <cell r="C542">
            <v>780.8</v>
          </cell>
        </row>
        <row r="543">
          <cell r="B543">
            <v>34104</v>
          </cell>
          <cell r="C543">
            <v>780.79</v>
          </cell>
        </row>
        <row r="544">
          <cell r="B544">
            <v>34105</v>
          </cell>
          <cell r="C544">
            <v>780.79</v>
          </cell>
        </row>
        <row r="545">
          <cell r="B545">
            <v>34106</v>
          </cell>
          <cell r="C545">
            <v>780.79</v>
          </cell>
        </row>
        <row r="546">
          <cell r="B546">
            <v>34107</v>
          </cell>
          <cell r="C546">
            <v>781.42</v>
          </cell>
        </row>
        <row r="547">
          <cell r="B547">
            <v>34108</v>
          </cell>
          <cell r="C547">
            <v>781.8</v>
          </cell>
        </row>
        <row r="548">
          <cell r="B548">
            <v>34109</v>
          </cell>
          <cell r="C548">
            <v>781.84</v>
          </cell>
        </row>
        <row r="549">
          <cell r="B549">
            <v>34110</v>
          </cell>
          <cell r="C549">
            <v>781.94</v>
          </cell>
        </row>
        <row r="550">
          <cell r="B550">
            <v>34111</v>
          </cell>
          <cell r="C550">
            <v>782</v>
          </cell>
        </row>
        <row r="551">
          <cell r="B551">
            <v>34112</v>
          </cell>
          <cell r="C551">
            <v>782</v>
          </cell>
        </row>
        <row r="552">
          <cell r="B552">
            <v>34113</v>
          </cell>
          <cell r="C552">
            <v>782</v>
          </cell>
        </row>
        <row r="553">
          <cell r="B553">
            <v>34114</v>
          </cell>
          <cell r="C553">
            <v>782</v>
          </cell>
        </row>
        <row r="554">
          <cell r="B554">
            <v>34115</v>
          </cell>
          <cell r="C554">
            <v>783.15</v>
          </cell>
        </row>
        <row r="555">
          <cell r="B555">
            <v>34116</v>
          </cell>
          <cell r="C555">
            <v>782.85</v>
          </cell>
        </row>
        <row r="556">
          <cell r="B556">
            <v>34117</v>
          </cell>
          <cell r="C556">
            <v>780.78</v>
          </cell>
        </row>
        <row r="557">
          <cell r="B557">
            <v>34118</v>
          </cell>
          <cell r="C557">
            <v>779.56</v>
          </cell>
        </row>
        <row r="558">
          <cell r="B558">
            <v>34119</v>
          </cell>
          <cell r="C558">
            <v>779.56</v>
          </cell>
        </row>
        <row r="559">
          <cell r="B559">
            <v>34120</v>
          </cell>
          <cell r="C559">
            <v>779.56</v>
          </cell>
        </row>
        <row r="560">
          <cell r="B560">
            <v>34121</v>
          </cell>
          <cell r="C560">
            <v>779</v>
          </cell>
        </row>
        <row r="561">
          <cell r="B561">
            <v>34122</v>
          </cell>
          <cell r="C561">
            <v>779.01</v>
          </cell>
        </row>
        <row r="562">
          <cell r="B562">
            <v>34123</v>
          </cell>
          <cell r="C562">
            <v>777.82</v>
          </cell>
        </row>
        <row r="563">
          <cell r="B563">
            <v>34124</v>
          </cell>
          <cell r="C563">
            <v>778.12</v>
          </cell>
        </row>
        <row r="564">
          <cell r="B564">
            <v>34125</v>
          </cell>
          <cell r="C564">
            <v>780.6</v>
          </cell>
        </row>
        <row r="565">
          <cell r="B565">
            <v>34126</v>
          </cell>
          <cell r="C565">
            <v>780.6</v>
          </cell>
        </row>
        <row r="566">
          <cell r="B566">
            <v>34127</v>
          </cell>
          <cell r="C566">
            <v>780.6</v>
          </cell>
        </row>
        <row r="567">
          <cell r="B567">
            <v>34128</v>
          </cell>
          <cell r="C567">
            <v>782.29</v>
          </cell>
        </row>
        <row r="568">
          <cell r="B568">
            <v>34129</v>
          </cell>
          <cell r="C568">
            <v>784.62</v>
          </cell>
        </row>
        <row r="569">
          <cell r="B569">
            <v>34130</v>
          </cell>
          <cell r="C569">
            <v>784.95</v>
          </cell>
        </row>
        <row r="570">
          <cell r="B570">
            <v>34131</v>
          </cell>
          <cell r="C570">
            <v>785.79</v>
          </cell>
        </row>
        <row r="571">
          <cell r="B571">
            <v>34132</v>
          </cell>
          <cell r="C571">
            <v>784.8</v>
          </cell>
        </row>
        <row r="572">
          <cell r="B572">
            <v>34133</v>
          </cell>
          <cell r="C572">
            <v>784.8</v>
          </cell>
        </row>
        <row r="573">
          <cell r="B573">
            <v>34134</v>
          </cell>
          <cell r="C573">
            <v>784.8</v>
          </cell>
        </row>
        <row r="574">
          <cell r="B574">
            <v>34135</v>
          </cell>
          <cell r="C574">
            <v>784.8</v>
          </cell>
        </row>
        <row r="575">
          <cell r="B575">
            <v>34136</v>
          </cell>
          <cell r="C575">
            <v>785.9</v>
          </cell>
        </row>
        <row r="576">
          <cell r="B576">
            <v>34137</v>
          </cell>
          <cell r="C576">
            <v>786.64</v>
          </cell>
        </row>
        <row r="577">
          <cell r="B577">
            <v>34138</v>
          </cell>
          <cell r="C577">
            <v>787.49</v>
          </cell>
        </row>
        <row r="578">
          <cell r="B578">
            <v>34139</v>
          </cell>
          <cell r="C578">
            <v>786.77</v>
          </cell>
        </row>
        <row r="579">
          <cell r="B579">
            <v>34140</v>
          </cell>
          <cell r="C579">
            <v>786.77</v>
          </cell>
        </row>
        <row r="580">
          <cell r="B580">
            <v>34141</v>
          </cell>
          <cell r="C580">
            <v>786.77</v>
          </cell>
        </row>
        <row r="581">
          <cell r="B581">
            <v>34142</v>
          </cell>
          <cell r="C581">
            <v>786.77</v>
          </cell>
        </row>
        <row r="582">
          <cell r="B582">
            <v>34143</v>
          </cell>
          <cell r="C582">
            <v>787.06</v>
          </cell>
        </row>
        <row r="583">
          <cell r="B583">
            <v>34144</v>
          </cell>
          <cell r="C583">
            <v>786.42</v>
          </cell>
        </row>
        <row r="584">
          <cell r="B584">
            <v>34145</v>
          </cell>
          <cell r="C584">
            <v>786.72</v>
          </cell>
        </row>
        <row r="585">
          <cell r="B585">
            <v>34146</v>
          </cell>
          <cell r="C585">
            <v>786.96</v>
          </cell>
        </row>
        <row r="586">
          <cell r="B586">
            <v>34147</v>
          </cell>
          <cell r="C586">
            <v>786.96</v>
          </cell>
        </row>
        <row r="587">
          <cell r="B587">
            <v>34148</v>
          </cell>
          <cell r="C587">
            <v>786.96</v>
          </cell>
        </row>
        <row r="588">
          <cell r="B588">
            <v>34149</v>
          </cell>
          <cell r="C588">
            <v>786.8</v>
          </cell>
        </row>
        <row r="589">
          <cell r="B589">
            <v>34150</v>
          </cell>
          <cell r="C589">
            <v>787.12</v>
          </cell>
        </row>
        <row r="590">
          <cell r="B590">
            <v>34151</v>
          </cell>
          <cell r="C590">
            <v>786.1</v>
          </cell>
        </row>
        <row r="591">
          <cell r="B591">
            <v>34152</v>
          </cell>
          <cell r="C591">
            <v>787.51</v>
          </cell>
        </row>
        <row r="592">
          <cell r="B592">
            <v>34153</v>
          </cell>
          <cell r="C592">
            <v>788.65</v>
          </cell>
        </row>
        <row r="593">
          <cell r="B593">
            <v>34154</v>
          </cell>
          <cell r="C593">
            <v>788.65</v>
          </cell>
        </row>
        <row r="594">
          <cell r="B594">
            <v>34155</v>
          </cell>
          <cell r="C594">
            <v>788.65</v>
          </cell>
        </row>
        <row r="595">
          <cell r="B595">
            <v>34156</v>
          </cell>
          <cell r="C595">
            <v>788.65</v>
          </cell>
        </row>
        <row r="596">
          <cell r="B596">
            <v>34157</v>
          </cell>
          <cell r="C596">
            <v>789.47</v>
          </cell>
        </row>
        <row r="597">
          <cell r="B597">
            <v>34158</v>
          </cell>
          <cell r="C597">
            <v>790.58</v>
          </cell>
        </row>
        <row r="598">
          <cell r="B598">
            <v>34159</v>
          </cell>
          <cell r="C598">
            <v>791.73</v>
          </cell>
        </row>
        <row r="599">
          <cell r="B599">
            <v>34160</v>
          </cell>
          <cell r="C599">
            <v>793.18</v>
          </cell>
        </row>
        <row r="600">
          <cell r="B600">
            <v>34161</v>
          </cell>
          <cell r="C600">
            <v>793.18</v>
          </cell>
        </row>
        <row r="601">
          <cell r="B601">
            <v>34162</v>
          </cell>
          <cell r="C601">
            <v>793.18</v>
          </cell>
        </row>
        <row r="602">
          <cell r="B602">
            <v>34163</v>
          </cell>
          <cell r="C602">
            <v>794.67</v>
          </cell>
        </row>
        <row r="603">
          <cell r="B603">
            <v>34164</v>
          </cell>
          <cell r="C603">
            <v>795.66</v>
          </cell>
        </row>
        <row r="604">
          <cell r="B604">
            <v>34165</v>
          </cell>
          <cell r="C604">
            <v>797</v>
          </cell>
        </row>
        <row r="605">
          <cell r="B605">
            <v>34166</v>
          </cell>
          <cell r="C605">
            <v>797.06</v>
          </cell>
        </row>
        <row r="606">
          <cell r="B606">
            <v>34167</v>
          </cell>
          <cell r="C606">
            <v>797.31</v>
          </cell>
        </row>
        <row r="607">
          <cell r="B607">
            <v>34168</v>
          </cell>
          <cell r="C607">
            <v>797.31</v>
          </cell>
        </row>
        <row r="608">
          <cell r="B608">
            <v>34169</v>
          </cell>
          <cell r="C608">
            <v>797.31</v>
          </cell>
        </row>
        <row r="609">
          <cell r="B609">
            <v>34170</v>
          </cell>
          <cell r="C609">
            <v>797.41</v>
          </cell>
        </row>
        <row r="610">
          <cell r="B610">
            <v>34171</v>
          </cell>
          <cell r="C610">
            <v>797.41</v>
          </cell>
        </row>
        <row r="611">
          <cell r="B611">
            <v>34172</v>
          </cell>
          <cell r="C611">
            <v>797.63</v>
          </cell>
        </row>
        <row r="612">
          <cell r="B612">
            <v>34173</v>
          </cell>
          <cell r="C612">
            <v>798.17</v>
          </cell>
        </row>
        <row r="613">
          <cell r="B613">
            <v>34174</v>
          </cell>
          <cell r="C613">
            <v>798.83</v>
          </cell>
        </row>
        <row r="614">
          <cell r="B614">
            <v>34175</v>
          </cell>
          <cell r="C614">
            <v>798.83</v>
          </cell>
        </row>
        <row r="615">
          <cell r="B615">
            <v>34176</v>
          </cell>
          <cell r="C615">
            <v>798.83</v>
          </cell>
        </row>
        <row r="616">
          <cell r="B616">
            <v>34177</v>
          </cell>
          <cell r="C616">
            <v>799.17</v>
          </cell>
        </row>
        <row r="617">
          <cell r="B617">
            <v>34178</v>
          </cell>
          <cell r="C617">
            <v>799.96</v>
          </cell>
        </row>
        <row r="618">
          <cell r="B618">
            <v>34179</v>
          </cell>
          <cell r="C618">
            <v>800.42</v>
          </cell>
        </row>
        <row r="619">
          <cell r="B619">
            <v>34180</v>
          </cell>
          <cell r="C619">
            <v>801.04</v>
          </cell>
        </row>
        <row r="620">
          <cell r="B620">
            <v>34181</v>
          </cell>
          <cell r="C620">
            <v>801.35</v>
          </cell>
        </row>
        <row r="621">
          <cell r="B621">
            <v>34182</v>
          </cell>
          <cell r="C621">
            <v>801.35</v>
          </cell>
        </row>
        <row r="622">
          <cell r="B622">
            <v>34183</v>
          </cell>
          <cell r="C622">
            <v>801.35</v>
          </cell>
        </row>
        <row r="623">
          <cell r="B623">
            <v>34184</v>
          </cell>
          <cell r="C623">
            <v>801.15</v>
          </cell>
        </row>
        <row r="624">
          <cell r="B624">
            <v>34185</v>
          </cell>
          <cell r="C624">
            <v>801.86</v>
          </cell>
        </row>
        <row r="625">
          <cell r="B625">
            <v>34186</v>
          </cell>
          <cell r="C625">
            <v>801.82</v>
          </cell>
        </row>
        <row r="626">
          <cell r="B626">
            <v>34187</v>
          </cell>
          <cell r="C626">
            <v>801.86</v>
          </cell>
        </row>
        <row r="627">
          <cell r="B627">
            <v>34188</v>
          </cell>
          <cell r="C627">
            <v>801.78</v>
          </cell>
        </row>
        <row r="628">
          <cell r="B628">
            <v>34189</v>
          </cell>
          <cell r="C628">
            <v>801.78</v>
          </cell>
        </row>
        <row r="629">
          <cell r="B629">
            <v>34190</v>
          </cell>
          <cell r="C629">
            <v>801.78</v>
          </cell>
        </row>
        <row r="630">
          <cell r="B630">
            <v>34191</v>
          </cell>
          <cell r="C630">
            <v>802.3</v>
          </cell>
        </row>
        <row r="631">
          <cell r="B631">
            <v>34192</v>
          </cell>
          <cell r="C631">
            <v>803.22</v>
          </cell>
        </row>
        <row r="632">
          <cell r="B632">
            <v>34193</v>
          </cell>
          <cell r="C632">
            <v>804.48</v>
          </cell>
        </row>
        <row r="633">
          <cell r="B633">
            <v>34194</v>
          </cell>
          <cell r="C633">
            <v>804.93</v>
          </cell>
        </row>
        <row r="634">
          <cell r="B634">
            <v>34195</v>
          </cell>
          <cell r="C634">
            <v>804.51</v>
          </cell>
        </row>
        <row r="635">
          <cell r="B635">
            <v>34196</v>
          </cell>
          <cell r="C635">
            <v>804.51</v>
          </cell>
        </row>
        <row r="636">
          <cell r="B636">
            <v>34197</v>
          </cell>
          <cell r="C636">
            <v>804.51</v>
          </cell>
        </row>
        <row r="637">
          <cell r="B637">
            <v>34198</v>
          </cell>
          <cell r="C637">
            <v>804.51</v>
          </cell>
        </row>
        <row r="638">
          <cell r="B638">
            <v>34199</v>
          </cell>
          <cell r="C638">
            <v>804.76</v>
          </cell>
        </row>
        <row r="639">
          <cell r="B639">
            <v>34200</v>
          </cell>
          <cell r="C639">
            <v>805.62</v>
          </cell>
        </row>
        <row r="640">
          <cell r="B640">
            <v>34201</v>
          </cell>
          <cell r="C640">
            <v>806.15</v>
          </cell>
        </row>
        <row r="641">
          <cell r="B641">
            <v>34202</v>
          </cell>
          <cell r="C641">
            <v>806.72</v>
          </cell>
        </row>
        <row r="642">
          <cell r="B642">
            <v>34203</v>
          </cell>
          <cell r="C642">
            <v>806.72</v>
          </cell>
        </row>
        <row r="643">
          <cell r="B643">
            <v>34204</v>
          </cell>
          <cell r="C643">
            <v>806.72</v>
          </cell>
        </row>
        <row r="644">
          <cell r="B644">
            <v>34205</v>
          </cell>
          <cell r="C644">
            <v>807.04</v>
          </cell>
        </row>
        <row r="645">
          <cell r="B645">
            <v>34206</v>
          </cell>
          <cell r="C645">
            <v>807.57</v>
          </cell>
        </row>
        <row r="646">
          <cell r="B646">
            <v>34207</v>
          </cell>
          <cell r="C646">
            <v>807.77</v>
          </cell>
        </row>
        <row r="647">
          <cell r="B647">
            <v>34208</v>
          </cell>
          <cell r="C647">
            <v>807.55</v>
          </cell>
        </row>
        <row r="648">
          <cell r="B648">
            <v>34209</v>
          </cell>
          <cell r="C648">
            <v>807.53</v>
          </cell>
        </row>
        <row r="649">
          <cell r="B649">
            <v>34210</v>
          </cell>
          <cell r="C649">
            <v>807.53</v>
          </cell>
        </row>
        <row r="650">
          <cell r="B650">
            <v>34211</v>
          </cell>
          <cell r="C650">
            <v>807.53</v>
          </cell>
        </row>
        <row r="651">
          <cell r="B651">
            <v>34212</v>
          </cell>
          <cell r="C651">
            <v>806.86</v>
          </cell>
        </row>
        <row r="652">
          <cell r="B652">
            <v>34213</v>
          </cell>
          <cell r="C652">
            <v>806.83</v>
          </cell>
        </row>
        <row r="653">
          <cell r="B653">
            <v>34214</v>
          </cell>
          <cell r="C653">
            <v>808.04</v>
          </cell>
        </row>
        <row r="654">
          <cell r="B654">
            <v>34215</v>
          </cell>
          <cell r="C654">
            <v>807.96</v>
          </cell>
        </row>
        <row r="655">
          <cell r="B655">
            <v>34216</v>
          </cell>
          <cell r="C655">
            <v>807.68</v>
          </cell>
        </row>
        <row r="656">
          <cell r="B656">
            <v>34217</v>
          </cell>
          <cell r="C656">
            <v>807.68</v>
          </cell>
        </row>
        <row r="657">
          <cell r="B657">
            <v>34218</v>
          </cell>
          <cell r="C657">
            <v>807.68</v>
          </cell>
        </row>
        <row r="658">
          <cell r="B658">
            <v>34219</v>
          </cell>
          <cell r="C658">
            <v>807.62</v>
          </cell>
        </row>
        <row r="659">
          <cell r="B659">
            <v>34220</v>
          </cell>
          <cell r="C659">
            <v>808.24</v>
          </cell>
        </row>
        <row r="660">
          <cell r="B660">
            <v>34221</v>
          </cell>
          <cell r="C660">
            <v>809.33</v>
          </cell>
        </row>
        <row r="661">
          <cell r="B661">
            <v>34222</v>
          </cell>
          <cell r="C661">
            <v>810.25</v>
          </cell>
        </row>
        <row r="662">
          <cell r="B662">
            <v>34223</v>
          </cell>
          <cell r="C662">
            <v>810.03</v>
          </cell>
        </row>
        <row r="663">
          <cell r="B663">
            <v>34224</v>
          </cell>
          <cell r="C663">
            <v>810.03</v>
          </cell>
        </row>
        <row r="664">
          <cell r="B664">
            <v>34225</v>
          </cell>
          <cell r="C664">
            <v>810.03</v>
          </cell>
        </row>
        <row r="665">
          <cell r="B665">
            <v>34226</v>
          </cell>
          <cell r="C665">
            <v>810.09</v>
          </cell>
        </row>
        <row r="666">
          <cell r="B666">
            <v>34227</v>
          </cell>
          <cell r="C666">
            <v>810.81</v>
          </cell>
        </row>
        <row r="667">
          <cell r="B667">
            <v>34228</v>
          </cell>
          <cell r="C667">
            <v>811.75</v>
          </cell>
        </row>
        <row r="668">
          <cell r="B668">
            <v>34229</v>
          </cell>
          <cell r="C668">
            <v>811.93</v>
          </cell>
        </row>
        <row r="669">
          <cell r="B669">
            <v>34230</v>
          </cell>
          <cell r="C669">
            <v>811.18</v>
          </cell>
        </row>
        <row r="670">
          <cell r="B670">
            <v>34231</v>
          </cell>
          <cell r="C670">
            <v>811.18</v>
          </cell>
        </row>
        <row r="671">
          <cell r="B671">
            <v>34232</v>
          </cell>
          <cell r="C671">
            <v>811.18</v>
          </cell>
        </row>
        <row r="672">
          <cell r="B672">
            <v>34233</v>
          </cell>
          <cell r="C672">
            <v>810.88</v>
          </cell>
        </row>
        <row r="673">
          <cell r="B673">
            <v>34234</v>
          </cell>
          <cell r="C673">
            <v>809.75</v>
          </cell>
        </row>
        <row r="674">
          <cell r="B674">
            <v>34235</v>
          </cell>
          <cell r="C674">
            <v>810.04</v>
          </cell>
        </row>
        <row r="675">
          <cell r="B675">
            <v>34236</v>
          </cell>
          <cell r="C675">
            <v>810.55</v>
          </cell>
        </row>
        <row r="676">
          <cell r="B676">
            <v>34237</v>
          </cell>
          <cell r="C676">
            <v>809.93</v>
          </cell>
        </row>
        <row r="677">
          <cell r="B677">
            <v>34238</v>
          </cell>
          <cell r="C677">
            <v>809.93</v>
          </cell>
        </row>
        <row r="678">
          <cell r="B678">
            <v>34239</v>
          </cell>
          <cell r="C678">
            <v>809.93</v>
          </cell>
        </row>
        <row r="679">
          <cell r="B679">
            <v>34240</v>
          </cell>
          <cell r="C679">
            <v>809.55</v>
          </cell>
        </row>
        <row r="680">
          <cell r="B680">
            <v>34241</v>
          </cell>
          <cell r="C680">
            <v>809.69</v>
          </cell>
        </row>
        <row r="681">
          <cell r="B681">
            <v>34242</v>
          </cell>
          <cell r="C681">
            <v>810.84</v>
          </cell>
        </row>
        <row r="682">
          <cell r="B682">
            <v>34243</v>
          </cell>
          <cell r="C682">
            <v>811.31</v>
          </cell>
        </row>
        <row r="683">
          <cell r="B683">
            <v>34244</v>
          </cell>
          <cell r="C683">
            <v>812.29</v>
          </cell>
        </row>
        <row r="684">
          <cell r="B684">
            <v>34245</v>
          </cell>
          <cell r="C684">
            <v>812.29</v>
          </cell>
        </row>
        <row r="685">
          <cell r="B685">
            <v>34246</v>
          </cell>
          <cell r="C685">
            <v>812.29</v>
          </cell>
        </row>
        <row r="686">
          <cell r="B686">
            <v>34247</v>
          </cell>
          <cell r="C686">
            <v>812.27</v>
          </cell>
        </row>
        <row r="687">
          <cell r="B687">
            <v>34248</v>
          </cell>
          <cell r="C687">
            <v>812.75</v>
          </cell>
        </row>
        <row r="688">
          <cell r="B688">
            <v>34249</v>
          </cell>
          <cell r="C688">
            <v>812.54</v>
          </cell>
        </row>
        <row r="689">
          <cell r="B689">
            <v>34250</v>
          </cell>
          <cell r="C689">
            <v>811.91</v>
          </cell>
        </row>
        <row r="690">
          <cell r="B690">
            <v>34251</v>
          </cell>
          <cell r="C690">
            <v>811.28</v>
          </cell>
        </row>
        <row r="691">
          <cell r="B691">
            <v>34252</v>
          </cell>
          <cell r="C691">
            <v>811.28</v>
          </cell>
        </row>
        <row r="692">
          <cell r="B692">
            <v>34253</v>
          </cell>
          <cell r="C692">
            <v>811.28</v>
          </cell>
        </row>
        <row r="693">
          <cell r="B693">
            <v>34254</v>
          </cell>
          <cell r="C693">
            <v>811.19</v>
          </cell>
        </row>
        <row r="694">
          <cell r="B694">
            <v>34255</v>
          </cell>
          <cell r="C694">
            <v>811.47</v>
          </cell>
        </row>
        <row r="695">
          <cell r="B695">
            <v>34256</v>
          </cell>
          <cell r="C695">
            <v>811.46</v>
          </cell>
        </row>
        <row r="696">
          <cell r="B696">
            <v>34257</v>
          </cell>
          <cell r="C696">
            <v>812.41</v>
          </cell>
        </row>
        <row r="697">
          <cell r="B697">
            <v>34258</v>
          </cell>
          <cell r="C697">
            <v>813.28</v>
          </cell>
        </row>
        <row r="698">
          <cell r="B698">
            <v>34259</v>
          </cell>
          <cell r="C698">
            <v>813.28</v>
          </cell>
        </row>
        <row r="699">
          <cell r="B699">
            <v>34260</v>
          </cell>
          <cell r="C699">
            <v>813.28</v>
          </cell>
        </row>
        <row r="700">
          <cell r="B700">
            <v>34261</v>
          </cell>
          <cell r="C700">
            <v>813.28</v>
          </cell>
        </row>
        <row r="701">
          <cell r="B701">
            <v>34262</v>
          </cell>
          <cell r="C701">
            <v>813.79</v>
          </cell>
        </row>
        <row r="702">
          <cell r="B702">
            <v>34263</v>
          </cell>
          <cell r="C702">
            <v>816.41</v>
          </cell>
        </row>
        <row r="703">
          <cell r="B703">
            <v>34264</v>
          </cell>
          <cell r="C703">
            <v>819.26</v>
          </cell>
        </row>
        <row r="704">
          <cell r="B704">
            <v>34265</v>
          </cell>
          <cell r="C704">
            <v>819.41</v>
          </cell>
        </row>
        <row r="705">
          <cell r="B705">
            <v>34266</v>
          </cell>
          <cell r="C705">
            <v>819.41</v>
          </cell>
        </row>
        <row r="706">
          <cell r="B706">
            <v>34267</v>
          </cell>
          <cell r="C706">
            <v>819.41</v>
          </cell>
        </row>
        <row r="707">
          <cell r="B707">
            <v>34268</v>
          </cell>
          <cell r="C707">
            <v>819.44</v>
          </cell>
        </row>
        <row r="708">
          <cell r="B708">
            <v>34269</v>
          </cell>
          <cell r="C708">
            <v>819.55</v>
          </cell>
        </row>
        <row r="709">
          <cell r="B709">
            <v>34270</v>
          </cell>
          <cell r="C709">
            <v>818.98</v>
          </cell>
        </row>
        <row r="710">
          <cell r="B710">
            <v>34271</v>
          </cell>
          <cell r="C710">
            <v>818.06</v>
          </cell>
        </row>
        <row r="711">
          <cell r="B711">
            <v>34272</v>
          </cell>
          <cell r="C711">
            <v>817.03</v>
          </cell>
        </row>
        <row r="712">
          <cell r="B712">
            <v>34273</v>
          </cell>
          <cell r="C712">
            <v>817.03</v>
          </cell>
        </row>
        <row r="713">
          <cell r="B713">
            <v>34274</v>
          </cell>
          <cell r="C713">
            <v>817.03</v>
          </cell>
        </row>
        <row r="714">
          <cell r="B714">
            <v>34275</v>
          </cell>
          <cell r="C714">
            <v>817.03</v>
          </cell>
        </row>
        <row r="715">
          <cell r="B715">
            <v>34276</v>
          </cell>
          <cell r="C715">
            <v>816.7</v>
          </cell>
        </row>
        <row r="716">
          <cell r="B716">
            <v>34277</v>
          </cell>
          <cell r="C716">
            <v>817.01</v>
          </cell>
        </row>
        <row r="717">
          <cell r="B717">
            <v>34278</v>
          </cell>
          <cell r="C717">
            <v>816.79</v>
          </cell>
        </row>
        <row r="718">
          <cell r="B718">
            <v>34279</v>
          </cell>
          <cell r="C718">
            <v>815.7</v>
          </cell>
        </row>
        <row r="719">
          <cell r="B719">
            <v>34280</v>
          </cell>
          <cell r="C719">
            <v>815.7</v>
          </cell>
        </row>
        <row r="720">
          <cell r="B720">
            <v>34281</v>
          </cell>
          <cell r="C720">
            <v>815.7</v>
          </cell>
        </row>
        <row r="721">
          <cell r="B721">
            <v>34282</v>
          </cell>
          <cell r="C721">
            <v>814.26</v>
          </cell>
        </row>
        <row r="722">
          <cell r="B722">
            <v>34283</v>
          </cell>
          <cell r="C722">
            <v>813.95</v>
          </cell>
        </row>
        <row r="723">
          <cell r="B723">
            <v>34284</v>
          </cell>
          <cell r="C723">
            <v>811.07</v>
          </cell>
        </row>
        <row r="724">
          <cell r="B724">
            <v>34285</v>
          </cell>
          <cell r="C724">
            <v>809.87</v>
          </cell>
        </row>
        <row r="725">
          <cell r="B725">
            <v>34286</v>
          </cell>
          <cell r="C725">
            <v>809.95</v>
          </cell>
        </row>
        <row r="726">
          <cell r="B726">
            <v>34287</v>
          </cell>
          <cell r="C726">
            <v>809.95</v>
          </cell>
        </row>
        <row r="727">
          <cell r="B727">
            <v>34288</v>
          </cell>
          <cell r="C727">
            <v>809.95</v>
          </cell>
        </row>
        <row r="728">
          <cell r="B728">
            <v>34289</v>
          </cell>
          <cell r="C728">
            <v>809.95</v>
          </cell>
        </row>
        <row r="729">
          <cell r="B729">
            <v>34290</v>
          </cell>
          <cell r="C729">
            <v>815.18</v>
          </cell>
        </row>
        <row r="730">
          <cell r="B730">
            <v>34291</v>
          </cell>
          <cell r="C730">
            <v>816.32</v>
          </cell>
        </row>
        <row r="731">
          <cell r="B731">
            <v>34292</v>
          </cell>
          <cell r="C731">
            <v>816.62</v>
          </cell>
        </row>
        <row r="732">
          <cell r="B732">
            <v>34293</v>
          </cell>
          <cell r="C732">
            <v>817.06</v>
          </cell>
        </row>
        <row r="733">
          <cell r="B733">
            <v>34294</v>
          </cell>
          <cell r="C733">
            <v>817.06</v>
          </cell>
        </row>
        <row r="734">
          <cell r="B734">
            <v>34295</v>
          </cell>
          <cell r="C734">
            <v>817.06</v>
          </cell>
        </row>
        <row r="735">
          <cell r="B735">
            <v>34296</v>
          </cell>
          <cell r="C735">
            <v>814.48</v>
          </cell>
        </row>
        <row r="736">
          <cell r="B736">
            <v>34297</v>
          </cell>
          <cell r="C736">
            <v>812.12</v>
          </cell>
        </row>
        <row r="737">
          <cell r="B737">
            <v>34298</v>
          </cell>
          <cell r="C737">
            <v>811.67</v>
          </cell>
        </row>
        <row r="738">
          <cell r="B738">
            <v>34299</v>
          </cell>
          <cell r="C738">
            <v>812.04</v>
          </cell>
        </row>
        <row r="739">
          <cell r="B739">
            <v>34300</v>
          </cell>
          <cell r="C739">
            <v>812.11</v>
          </cell>
        </row>
        <row r="740">
          <cell r="B740">
            <v>34301</v>
          </cell>
          <cell r="C740">
            <v>812.11</v>
          </cell>
        </row>
        <row r="741">
          <cell r="B741">
            <v>34302</v>
          </cell>
          <cell r="C741">
            <v>812.11</v>
          </cell>
        </row>
        <row r="742">
          <cell r="B742">
            <v>34303</v>
          </cell>
          <cell r="C742">
            <v>811.73</v>
          </cell>
        </row>
        <row r="743">
          <cell r="B743">
            <v>34304</v>
          </cell>
          <cell r="C743">
            <v>812.21</v>
          </cell>
        </row>
        <row r="744">
          <cell r="B744">
            <v>34305</v>
          </cell>
          <cell r="C744">
            <v>811.78</v>
          </cell>
        </row>
        <row r="745">
          <cell r="B745">
            <v>34306</v>
          </cell>
          <cell r="C745">
            <v>809.63</v>
          </cell>
        </row>
        <row r="746">
          <cell r="B746">
            <v>34307</v>
          </cell>
          <cell r="C746">
            <v>806.49</v>
          </cell>
        </row>
        <row r="747">
          <cell r="B747">
            <v>34308</v>
          </cell>
          <cell r="C747">
            <v>806.49</v>
          </cell>
        </row>
        <row r="748">
          <cell r="B748">
            <v>34309</v>
          </cell>
          <cell r="C748">
            <v>806.49</v>
          </cell>
        </row>
        <row r="749">
          <cell r="B749">
            <v>34310</v>
          </cell>
          <cell r="C749">
            <v>803.1</v>
          </cell>
        </row>
        <row r="750">
          <cell r="B750">
            <v>34311</v>
          </cell>
          <cell r="C750">
            <v>800.6</v>
          </cell>
        </row>
        <row r="751">
          <cell r="B751">
            <v>34312</v>
          </cell>
          <cell r="C751">
            <v>800.6</v>
          </cell>
        </row>
        <row r="752">
          <cell r="B752">
            <v>34313</v>
          </cell>
          <cell r="C752">
            <v>798.51</v>
          </cell>
        </row>
        <row r="753">
          <cell r="B753">
            <v>34314</v>
          </cell>
          <cell r="C753">
            <v>797.53</v>
          </cell>
        </row>
        <row r="754">
          <cell r="B754">
            <v>34315</v>
          </cell>
          <cell r="C754">
            <v>797.53</v>
          </cell>
        </row>
        <row r="755">
          <cell r="B755">
            <v>34316</v>
          </cell>
          <cell r="C755">
            <v>797.53</v>
          </cell>
        </row>
        <row r="756">
          <cell r="B756">
            <v>34317</v>
          </cell>
          <cell r="C756">
            <v>798.2</v>
          </cell>
        </row>
        <row r="757">
          <cell r="B757">
            <v>34318</v>
          </cell>
          <cell r="C757">
            <v>798.12</v>
          </cell>
        </row>
        <row r="758">
          <cell r="B758">
            <v>34319</v>
          </cell>
          <cell r="C758">
            <v>799.43</v>
          </cell>
        </row>
        <row r="759">
          <cell r="B759">
            <v>34320</v>
          </cell>
          <cell r="C759">
            <v>804.89</v>
          </cell>
        </row>
        <row r="760">
          <cell r="B760">
            <v>34321</v>
          </cell>
          <cell r="C760">
            <v>806.5</v>
          </cell>
        </row>
        <row r="761">
          <cell r="B761">
            <v>34322</v>
          </cell>
          <cell r="C761">
            <v>806.5</v>
          </cell>
        </row>
        <row r="762">
          <cell r="B762">
            <v>34323</v>
          </cell>
          <cell r="C762">
            <v>806.5</v>
          </cell>
        </row>
        <row r="763">
          <cell r="B763">
            <v>34324</v>
          </cell>
          <cell r="C763">
            <v>803.81</v>
          </cell>
        </row>
        <row r="764">
          <cell r="B764">
            <v>34325</v>
          </cell>
          <cell r="C764">
            <v>802.46</v>
          </cell>
        </row>
        <row r="765">
          <cell r="B765">
            <v>34326</v>
          </cell>
          <cell r="C765">
            <v>801.4</v>
          </cell>
        </row>
        <row r="766">
          <cell r="B766">
            <v>34327</v>
          </cell>
          <cell r="C766">
            <v>801.69</v>
          </cell>
        </row>
        <row r="767">
          <cell r="B767">
            <v>34328</v>
          </cell>
          <cell r="C767">
            <v>801.69</v>
          </cell>
        </row>
        <row r="768">
          <cell r="B768">
            <v>34329</v>
          </cell>
          <cell r="C768">
            <v>801.69</v>
          </cell>
        </row>
        <row r="769">
          <cell r="B769">
            <v>34330</v>
          </cell>
          <cell r="C769">
            <v>801.69</v>
          </cell>
        </row>
        <row r="770">
          <cell r="B770">
            <v>34331</v>
          </cell>
          <cell r="C770">
            <v>809.13</v>
          </cell>
        </row>
        <row r="771">
          <cell r="B771">
            <v>34332</v>
          </cell>
          <cell r="C771">
            <v>802.33</v>
          </cell>
        </row>
        <row r="772">
          <cell r="B772">
            <v>34333</v>
          </cell>
          <cell r="C772">
            <v>802.71</v>
          </cell>
        </row>
        <row r="773">
          <cell r="B773">
            <v>34334</v>
          </cell>
          <cell r="C773">
            <v>804.33</v>
          </cell>
        </row>
        <row r="774">
          <cell r="B774">
            <v>34335</v>
          </cell>
          <cell r="C774">
            <v>804.33</v>
          </cell>
        </row>
        <row r="775">
          <cell r="B775">
            <v>34336</v>
          </cell>
          <cell r="C775">
            <v>804.33</v>
          </cell>
        </row>
        <row r="776">
          <cell r="B776">
            <v>34337</v>
          </cell>
          <cell r="C776">
            <v>804.33</v>
          </cell>
        </row>
        <row r="777">
          <cell r="B777">
            <v>34338</v>
          </cell>
          <cell r="C777">
            <v>805.91</v>
          </cell>
        </row>
        <row r="778">
          <cell r="B778">
            <v>34339</v>
          </cell>
          <cell r="C778">
            <v>810.01</v>
          </cell>
        </row>
        <row r="779">
          <cell r="B779">
            <v>34340</v>
          </cell>
          <cell r="C779">
            <v>814.21</v>
          </cell>
        </row>
        <row r="780">
          <cell r="B780">
            <v>34341</v>
          </cell>
          <cell r="C780">
            <v>818.83</v>
          </cell>
        </row>
        <row r="781">
          <cell r="B781">
            <v>34342</v>
          </cell>
          <cell r="C781">
            <v>818.89</v>
          </cell>
        </row>
        <row r="782">
          <cell r="B782">
            <v>34343</v>
          </cell>
          <cell r="C782">
            <v>818.89</v>
          </cell>
        </row>
        <row r="783">
          <cell r="B783">
            <v>34344</v>
          </cell>
          <cell r="C783">
            <v>818.89</v>
          </cell>
        </row>
        <row r="784">
          <cell r="B784">
            <v>34345</v>
          </cell>
          <cell r="C784">
            <v>818.89</v>
          </cell>
        </row>
        <row r="785">
          <cell r="B785">
            <v>34346</v>
          </cell>
          <cell r="C785">
            <v>818.5</v>
          </cell>
        </row>
        <row r="786">
          <cell r="B786">
            <v>34347</v>
          </cell>
          <cell r="C786">
            <v>819.81</v>
          </cell>
        </row>
        <row r="787">
          <cell r="B787">
            <v>34348</v>
          </cell>
          <cell r="C787">
            <v>820.1</v>
          </cell>
        </row>
        <row r="788">
          <cell r="B788">
            <v>34349</v>
          </cell>
          <cell r="C788">
            <v>815.81</v>
          </cell>
        </row>
        <row r="789">
          <cell r="B789">
            <v>34350</v>
          </cell>
          <cell r="C789">
            <v>815.81</v>
          </cell>
        </row>
        <row r="790">
          <cell r="B790">
            <v>34351</v>
          </cell>
          <cell r="C790">
            <v>815.81</v>
          </cell>
        </row>
        <row r="791">
          <cell r="B791">
            <v>34352</v>
          </cell>
          <cell r="C791">
            <v>816.91</v>
          </cell>
        </row>
        <row r="792">
          <cell r="B792">
            <v>34353</v>
          </cell>
          <cell r="C792">
            <v>816.15</v>
          </cell>
        </row>
        <row r="793">
          <cell r="B793">
            <v>34354</v>
          </cell>
          <cell r="C793">
            <v>814.56</v>
          </cell>
        </row>
        <row r="794">
          <cell r="B794">
            <v>34355</v>
          </cell>
          <cell r="C794">
            <v>815.91</v>
          </cell>
        </row>
        <row r="795">
          <cell r="B795">
            <v>34356</v>
          </cell>
          <cell r="C795">
            <v>815.65</v>
          </cell>
        </row>
        <row r="796">
          <cell r="B796">
            <v>34357</v>
          </cell>
          <cell r="C796">
            <v>815.65</v>
          </cell>
        </row>
        <row r="797">
          <cell r="B797">
            <v>34358</v>
          </cell>
          <cell r="C797">
            <v>815.65</v>
          </cell>
        </row>
        <row r="798">
          <cell r="B798">
            <v>34359</v>
          </cell>
          <cell r="C798">
            <v>816.69</v>
          </cell>
        </row>
        <row r="799">
          <cell r="B799">
            <v>34360</v>
          </cell>
          <cell r="C799">
            <v>819.1</v>
          </cell>
        </row>
        <row r="800">
          <cell r="B800">
            <v>34361</v>
          </cell>
          <cell r="C800">
            <v>821.52</v>
          </cell>
        </row>
        <row r="801">
          <cell r="B801">
            <v>34362</v>
          </cell>
          <cell r="C801">
            <v>821.72</v>
          </cell>
        </row>
        <row r="802">
          <cell r="B802">
            <v>34363</v>
          </cell>
          <cell r="C802">
            <v>818.38</v>
          </cell>
        </row>
        <row r="803">
          <cell r="B803">
            <v>34364</v>
          </cell>
          <cell r="C803">
            <v>818.38</v>
          </cell>
        </row>
        <row r="804">
          <cell r="B804">
            <v>34365</v>
          </cell>
          <cell r="C804">
            <v>818.38</v>
          </cell>
        </row>
        <row r="805">
          <cell r="B805">
            <v>34366</v>
          </cell>
          <cell r="C805">
            <v>817</v>
          </cell>
        </row>
        <row r="806">
          <cell r="B806">
            <v>34367</v>
          </cell>
          <cell r="C806">
            <v>819.27</v>
          </cell>
        </row>
        <row r="807">
          <cell r="B807">
            <v>34368</v>
          </cell>
          <cell r="C807">
            <v>817.96</v>
          </cell>
        </row>
        <row r="808">
          <cell r="B808">
            <v>34369</v>
          </cell>
          <cell r="C808">
            <v>817.69</v>
          </cell>
        </row>
        <row r="809">
          <cell r="B809">
            <v>34370</v>
          </cell>
          <cell r="C809">
            <v>818</v>
          </cell>
        </row>
        <row r="810">
          <cell r="B810">
            <v>34371</v>
          </cell>
          <cell r="C810">
            <v>818</v>
          </cell>
        </row>
        <row r="811">
          <cell r="B811">
            <v>34372</v>
          </cell>
          <cell r="C811">
            <v>818</v>
          </cell>
        </row>
        <row r="812">
          <cell r="B812">
            <v>34373</v>
          </cell>
          <cell r="C812">
            <v>817.64</v>
          </cell>
        </row>
        <row r="813">
          <cell r="B813">
            <v>34374</v>
          </cell>
          <cell r="C813">
            <v>817.81</v>
          </cell>
        </row>
        <row r="814">
          <cell r="B814">
            <v>34375</v>
          </cell>
          <cell r="C814">
            <v>817.88</v>
          </cell>
        </row>
        <row r="815">
          <cell r="B815">
            <v>34376</v>
          </cell>
          <cell r="C815">
            <v>817.88</v>
          </cell>
        </row>
        <row r="816">
          <cell r="B816">
            <v>34377</v>
          </cell>
          <cell r="C816">
            <v>817.78</v>
          </cell>
        </row>
        <row r="817">
          <cell r="B817">
            <v>34378</v>
          </cell>
          <cell r="C817">
            <v>817.78</v>
          </cell>
        </row>
        <row r="818">
          <cell r="B818">
            <v>34379</v>
          </cell>
          <cell r="C818">
            <v>817.78</v>
          </cell>
        </row>
        <row r="819">
          <cell r="B819">
            <v>34380</v>
          </cell>
          <cell r="C819">
            <v>817.59</v>
          </cell>
        </row>
        <row r="820">
          <cell r="B820">
            <v>34381</v>
          </cell>
          <cell r="C820">
            <v>816.92</v>
          </cell>
        </row>
        <row r="821">
          <cell r="B821">
            <v>34382</v>
          </cell>
          <cell r="C821">
            <v>816.1</v>
          </cell>
        </row>
        <row r="822">
          <cell r="B822">
            <v>34383</v>
          </cell>
          <cell r="C822">
            <v>815.19</v>
          </cell>
        </row>
        <row r="823">
          <cell r="B823">
            <v>34384</v>
          </cell>
          <cell r="C823">
            <v>814.13</v>
          </cell>
        </row>
        <row r="824">
          <cell r="B824">
            <v>34385</v>
          </cell>
          <cell r="C824">
            <v>814.13</v>
          </cell>
        </row>
        <row r="825">
          <cell r="B825">
            <v>34386</v>
          </cell>
          <cell r="C825">
            <v>814.13</v>
          </cell>
        </row>
        <row r="826">
          <cell r="B826">
            <v>34387</v>
          </cell>
          <cell r="C826">
            <v>816.04</v>
          </cell>
        </row>
        <row r="827">
          <cell r="B827">
            <v>34388</v>
          </cell>
          <cell r="C827">
            <v>818.33</v>
          </cell>
        </row>
        <row r="828">
          <cell r="B828">
            <v>34389</v>
          </cell>
          <cell r="C828">
            <v>820.76</v>
          </cell>
        </row>
        <row r="829">
          <cell r="B829">
            <v>34390</v>
          </cell>
          <cell r="C829">
            <v>819.68</v>
          </cell>
        </row>
        <row r="830">
          <cell r="B830">
            <v>34391</v>
          </cell>
          <cell r="C830">
            <v>819.7</v>
          </cell>
        </row>
        <row r="831">
          <cell r="B831">
            <v>34392</v>
          </cell>
          <cell r="C831">
            <v>819.7</v>
          </cell>
        </row>
        <row r="832">
          <cell r="B832">
            <v>34393</v>
          </cell>
          <cell r="C832">
            <v>819.7</v>
          </cell>
        </row>
        <row r="833">
          <cell r="B833">
            <v>34394</v>
          </cell>
          <cell r="C833">
            <v>820.12</v>
          </cell>
        </row>
        <row r="834">
          <cell r="B834">
            <v>34395</v>
          </cell>
          <cell r="C834">
            <v>819.83</v>
          </cell>
        </row>
        <row r="835">
          <cell r="B835">
            <v>34396</v>
          </cell>
          <cell r="C835">
            <v>819.61</v>
          </cell>
        </row>
        <row r="836">
          <cell r="B836">
            <v>34397</v>
          </cell>
          <cell r="C836">
            <v>818.7</v>
          </cell>
        </row>
        <row r="837">
          <cell r="B837">
            <v>34398</v>
          </cell>
          <cell r="C837">
            <v>817.86</v>
          </cell>
        </row>
        <row r="838">
          <cell r="B838">
            <v>34399</v>
          </cell>
          <cell r="C838">
            <v>817.86</v>
          </cell>
        </row>
        <row r="839">
          <cell r="B839">
            <v>34400</v>
          </cell>
          <cell r="C839">
            <v>817.86</v>
          </cell>
        </row>
        <row r="840">
          <cell r="B840">
            <v>34401</v>
          </cell>
          <cell r="C840">
            <v>817.76</v>
          </cell>
        </row>
        <row r="841">
          <cell r="B841">
            <v>34402</v>
          </cell>
          <cell r="C841">
            <v>818.02</v>
          </cell>
        </row>
        <row r="842">
          <cell r="B842">
            <v>34403</v>
          </cell>
          <cell r="C842">
            <v>818.37</v>
          </cell>
        </row>
        <row r="843">
          <cell r="B843">
            <v>34404</v>
          </cell>
          <cell r="C843">
            <v>818.46</v>
          </cell>
        </row>
        <row r="844">
          <cell r="B844">
            <v>34405</v>
          </cell>
          <cell r="C844">
            <v>818.62</v>
          </cell>
        </row>
        <row r="845">
          <cell r="B845">
            <v>34406</v>
          </cell>
          <cell r="C845">
            <v>818.62</v>
          </cell>
        </row>
        <row r="846">
          <cell r="B846">
            <v>34407</v>
          </cell>
          <cell r="C846">
            <v>818.62</v>
          </cell>
        </row>
        <row r="847">
          <cell r="B847">
            <v>34408</v>
          </cell>
          <cell r="C847">
            <v>818.69</v>
          </cell>
        </row>
        <row r="848">
          <cell r="B848">
            <v>34409</v>
          </cell>
          <cell r="C848">
            <v>818.49</v>
          </cell>
        </row>
        <row r="849">
          <cell r="B849">
            <v>34410</v>
          </cell>
          <cell r="C849">
            <v>820.44</v>
          </cell>
        </row>
        <row r="850">
          <cell r="B850">
            <v>34411</v>
          </cell>
          <cell r="C850">
            <v>820.91</v>
          </cell>
        </row>
        <row r="851">
          <cell r="B851">
            <v>34412</v>
          </cell>
          <cell r="C851">
            <v>821.34</v>
          </cell>
        </row>
        <row r="852">
          <cell r="B852">
            <v>34413</v>
          </cell>
          <cell r="C852">
            <v>821.34</v>
          </cell>
        </row>
        <row r="853">
          <cell r="B853">
            <v>34414</v>
          </cell>
          <cell r="C853">
            <v>821.34</v>
          </cell>
        </row>
        <row r="854">
          <cell r="B854">
            <v>34415</v>
          </cell>
          <cell r="C854">
            <v>821.34</v>
          </cell>
        </row>
        <row r="855">
          <cell r="B855">
            <v>34416</v>
          </cell>
          <cell r="C855">
            <v>821.73</v>
          </cell>
        </row>
        <row r="856">
          <cell r="B856">
            <v>34417</v>
          </cell>
          <cell r="C856">
            <v>821.82</v>
          </cell>
        </row>
        <row r="857">
          <cell r="B857">
            <v>34418</v>
          </cell>
          <cell r="C857">
            <v>821.7</v>
          </cell>
        </row>
        <row r="858">
          <cell r="B858">
            <v>34419</v>
          </cell>
          <cell r="C858">
            <v>821.14</v>
          </cell>
        </row>
        <row r="859">
          <cell r="B859">
            <v>34420</v>
          </cell>
          <cell r="C859">
            <v>821.14</v>
          </cell>
        </row>
        <row r="860">
          <cell r="B860">
            <v>34421</v>
          </cell>
          <cell r="C860">
            <v>821.14</v>
          </cell>
        </row>
        <row r="861">
          <cell r="B861">
            <v>34422</v>
          </cell>
          <cell r="C861">
            <v>820.63</v>
          </cell>
        </row>
        <row r="862">
          <cell r="B862">
            <v>34423</v>
          </cell>
          <cell r="C862">
            <v>820.78</v>
          </cell>
        </row>
        <row r="863">
          <cell r="B863">
            <v>34424</v>
          </cell>
          <cell r="C863">
            <v>819.51</v>
          </cell>
        </row>
        <row r="864">
          <cell r="B864">
            <v>34425</v>
          </cell>
          <cell r="C864">
            <v>819.51</v>
          </cell>
        </row>
        <row r="865">
          <cell r="B865">
            <v>34426</v>
          </cell>
          <cell r="C865">
            <v>819.51</v>
          </cell>
        </row>
        <row r="866">
          <cell r="B866">
            <v>34427</v>
          </cell>
          <cell r="C866">
            <v>819.51</v>
          </cell>
        </row>
        <row r="867">
          <cell r="B867">
            <v>34428</v>
          </cell>
          <cell r="C867">
            <v>819.51</v>
          </cell>
        </row>
        <row r="868">
          <cell r="B868">
            <v>34429</v>
          </cell>
          <cell r="C868">
            <v>820.21</v>
          </cell>
        </row>
        <row r="869">
          <cell r="B869">
            <v>34430</v>
          </cell>
          <cell r="C869">
            <v>820.93</v>
          </cell>
        </row>
        <row r="870">
          <cell r="B870">
            <v>34431</v>
          </cell>
          <cell r="C870">
            <v>822.57</v>
          </cell>
        </row>
        <row r="871">
          <cell r="B871">
            <v>34432</v>
          </cell>
          <cell r="C871">
            <v>825.28</v>
          </cell>
        </row>
        <row r="872">
          <cell r="B872">
            <v>34433</v>
          </cell>
          <cell r="C872">
            <v>828.92</v>
          </cell>
        </row>
        <row r="873">
          <cell r="B873">
            <v>34434</v>
          </cell>
          <cell r="C873">
            <v>828.92</v>
          </cell>
        </row>
        <row r="874">
          <cell r="B874">
            <v>34435</v>
          </cell>
          <cell r="C874">
            <v>828.92</v>
          </cell>
        </row>
        <row r="875">
          <cell r="B875">
            <v>34436</v>
          </cell>
          <cell r="C875">
            <v>829.32</v>
          </cell>
        </row>
        <row r="876">
          <cell r="B876">
            <v>34437</v>
          </cell>
          <cell r="C876">
            <v>828.81</v>
          </cell>
        </row>
        <row r="877">
          <cell r="B877">
            <v>34438</v>
          </cell>
          <cell r="C877">
            <v>827.96</v>
          </cell>
        </row>
        <row r="878">
          <cell r="B878">
            <v>34439</v>
          </cell>
          <cell r="C878">
            <v>827.44</v>
          </cell>
        </row>
        <row r="879">
          <cell r="B879">
            <v>34440</v>
          </cell>
          <cell r="C879">
            <v>827.93</v>
          </cell>
        </row>
        <row r="880">
          <cell r="B880">
            <v>34441</v>
          </cell>
          <cell r="C880">
            <v>827.93</v>
          </cell>
        </row>
        <row r="881">
          <cell r="B881">
            <v>34442</v>
          </cell>
          <cell r="C881">
            <v>827.93</v>
          </cell>
        </row>
        <row r="882">
          <cell r="B882">
            <v>34443</v>
          </cell>
          <cell r="C882">
            <v>829.47</v>
          </cell>
        </row>
        <row r="883">
          <cell r="B883">
            <v>34444</v>
          </cell>
          <cell r="C883">
            <v>831.24</v>
          </cell>
        </row>
        <row r="884">
          <cell r="B884">
            <v>34445</v>
          </cell>
          <cell r="C884">
            <v>834.3</v>
          </cell>
        </row>
        <row r="885">
          <cell r="B885">
            <v>34446</v>
          </cell>
          <cell r="C885">
            <v>838.25</v>
          </cell>
        </row>
        <row r="886">
          <cell r="B886">
            <v>34447</v>
          </cell>
          <cell r="C886">
            <v>836.96</v>
          </cell>
        </row>
        <row r="887">
          <cell r="B887">
            <v>34448</v>
          </cell>
          <cell r="C887">
            <v>836.96</v>
          </cell>
        </row>
        <row r="888">
          <cell r="B888">
            <v>34449</v>
          </cell>
          <cell r="C888">
            <v>836.96</v>
          </cell>
        </row>
        <row r="889">
          <cell r="B889">
            <v>34450</v>
          </cell>
          <cell r="C889">
            <v>835.4</v>
          </cell>
        </row>
        <row r="890">
          <cell r="B890">
            <v>34451</v>
          </cell>
          <cell r="C890">
            <v>837.31</v>
          </cell>
        </row>
        <row r="891">
          <cell r="B891">
            <v>34452</v>
          </cell>
          <cell r="C891">
            <v>838.28</v>
          </cell>
        </row>
        <row r="892">
          <cell r="B892">
            <v>34453</v>
          </cell>
          <cell r="C892">
            <v>837.27</v>
          </cell>
        </row>
        <row r="893">
          <cell r="B893">
            <v>34454</v>
          </cell>
          <cell r="C893">
            <v>836.86</v>
          </cell>
        </row>
        <row r="894">
          <cell r="B894">
            <v>34455</v>
          </cell>
          <cell r="C894">
            <v>836.86</v>
          </cell>
        </row>
        <row r="895">
          <cell r="B895">
            <v>34456</v>
          </cell>
          <cell r="C895">
            <v>836.86</v>
          </cell>
        </row>
        <row r="896">
          <cell r="B896">
            <v>34457</v>
          </cell>
          <cell r="C896">
            <v>838.04</v>
          </cell>
        </row>
        <row r="897">
          <cell r="B897">
            <v>34458</v>
          </cell>
          <cell r="C897">
            <v>839.14</v>
          </cell>
        </row>
        <row r="898">
          <cell r="B898">
            <v>34459</v>
          </cell>
          <cell r="C898">
            <v>841</v>
          </cell>
        </row>
        <row r="899">
          <cell r="B899">
            <v>34460</v>
          </cell>
          <cell r="C899">
            <v>841.25</v>
          </cell>
        </row>
        <row r="900">
          <cell r="B900">
            <v>34461</v>
          </cell>
          <cell r="C900">
            <v>841.7</v>
          </cell>
        </row>
        <row r="901">
          <cell r="B901">
            <v>34462</v>
          </cell>
          <cell r="C901">
            <v>841.7</v>
          </cell>
        </row>
        <row r="902">
          <cell r="B902">
            <v>34463</v>
          </cell>
          <cell r="C902">
            <v>841.7</v>
          </cell>
        </row>
        <row r="903">
          <cell r="B903">
            <v>34464</v>
          </cell>
          <cell r="C903">
            <v>841.27</v>
          </cell>
        </row>
        <row r="904">
          <cell r="B904">
            <v>34465</v>
          </cell>
          <cell r="C904">
            <v>841.33</v>
          </cell>
        </row>
        <row r="905">
          <cell r="B905">
            <v>34466</v>
          </cell>
          <cell r="C905">
            <v>841.92</v>
          </cell>
        </row>
        <row r="906">
          <cell r="B906">
            <v>34467</v>
          </cell>
          <cell r="C906">
            <v>843.24</v>
          </cell>
        </row>
        <row r="907">
          <cell r="B907">
            <v>34468</v>
          </cell>
          <cell r="C907">
            <v>842.23</v>
          </cell>
        </row>
        <row r="908">
          <cell r="B908">
            <v>34469</v>
          </cell>
          <cell r="C908">
            <v>842.23</v>
          </cell>
        </row>
        <row r="909">
          <cell r="B909">
            <v>34470</v>
          </cell>
          <cell r="C909">
            <v>842.23</v>
          </cell>
        </row>
        <row r="910">
          <cell r="B910">
            <v>34471</v>
          </cell>
          <cell r="C910">
            <v>842.23</v>
          </cell>
        </row>
        <row r="911">
          <cell r="B911">
            <v>34472</v>
          </cell>
          <cell r="C911">
            <v>842.21</v>
          </cell>
        </row>
        <row r="912">
          <cell r="B912">
            <v>34473</v>
          </cell>
          <cell r="C912">
            <v>842.83</v>
          </cell>
        </row>
        <row r="913">
          <cell r="B913">
            <v>34474</v>
          </cell>
          <cell r="C913">
            <v>842.64</v>
          </cell>
        </row>
        <row r="914">
          <cell r="B914">
            <v>34475</v>
          </cell>
          <cell r="C914">
            <v>842.33</v>
          </cell>
        </row>
        <row r="915">
          <cell r="B915">
            <v>34476</v>
          </cell>
          <cell r="C915">
            <v>842.33</v>
          </cell>
        </row>
        <row r="916">
          <cell r="B916">
            <v>34477</v>
          </cell>
          <cell r="C916">
            <v>842.33</v>
          </cell>
        </row>
        <row r="917">
          <cell r="B917">
            <v>34478</v>
          </cell>
          <cell r="C917">
            <v>842.92</v>
          </cell>
        </row>
        <row r="918">
          <cell r="B918">
            <v>34479</v>
          </cell>
          <cell r="C918">
            <v>843.08</v>
          </cell>
        </row>
        <row r="919">
          <cell r="B919">
            <v>34480</v>
          </cell>
          <cell r="C919">
            <v>842.22</v>
          </cell>
        </row>
        <row r="920">
          <cell r="B920">
            <v>34481</v>
          </cell>
          <cell r="C920">
            <v>841.86</v>
          </cell>
        </row>
        <row r="921">
          <cell r="B921">
            <v>34482</v>
          </cell>
          <cell r="C921">
            <v>840.93</v>
          </cell>
        </row>
        <row r="922">
          <cell r="B922">
            <v>34483</v>
          </cell>
          <cell r="C922">
            <v>840.93</v>
          </cell>
        </row>
        <row r="923">
          <cell r="B923">
            <v>34484</v>
          </cell>
          <cell r="C923">
            <v>840.93</v>
          </cell>
        </row>
        <row r="924">
          <cell r="B924">
            <v>34485</v>
          </cell>
          <cell r="C924">
            <v>841.12</v>
          </cell>
        </row>
        <row r="925">
          <cell r="B925">
            <v>34486</v>
          </cell>
          <cell r="C925">
            <v>841.93</v>
          </cell>
        </row>
        <row r="926">
          <cell r="B926">
            <v>34487</v>
          </cell>
          <cell r="C926">
            <v>842</v>
          </cell>
        </row>
        <row r="927">
          <cell r="B927">
            <v>34488</v>
          </cell>
          <cell r="C927">
            <v>841.44</v>
          </cell>
        </row>
        <row r="928">
          <cell r="B928">
            <v>34489</v>
          </cell>
          <cell r="C928">
            <v>840.37</v>
          </cell>
        </row>
        <row r="929">
          <cell r="B929">
            <v>34490</v>
          </cell>
          <cell r="C929">
            <v>840.37</v>
          </cell>
        </row>
        <row r="930">
          <cell r="B930">
            <v>34491</v>
          </cell>
          <cell r="C930">
            <v>840.37</v>
          </cell>
        </row>
        <row r="931">
          <cell r="B931">
            <v>34492</v>
          </cell>
          <cell r="C931">
            <v>840.37</v>
          </cell>
        </row>
        <row r="932">
          <cell r="B932">
            <v>34493</v>
          </cell>
          <cell r="C932">
            <v>839.56</v>
          </cell>
        </row>
        <row r="933">
          <cell r="B933">
            <v>34494</v>
          </cell>
          <cell r="C933">
            <v>838.03</v>
          </cell>
        </row>
        <row r="934">
          <cell r="B934">
            <v>34495</v>
          </cell>
          <cell r="C934">
            <v>834.96</v>
          </cell>
        </row>
        <row r="935">
          <cell r="B935">
            <v>34496</v>
          </cell>
          <cell r="C935">
            <v>833.19</v>
          </cell>
        </row>
        <row r="936">
          <cell r="B936">
            <v>34497</v>
          </cell>
          <cell r="C936">
            <v>833.19</v>
          </cell>
        </row>
        <row r="937">
          <cell r="B937">
            <v>34498</v>
          </cell>
          <cell r="C937">
            <v>833.19</v>
          </cell>
        </row>
        <row r="938">
          <cell r="B938">
            <v>34499</v>
          </cell>
          <cell r="C938">
            <v>833.19</v>
          </cell>
        </row>
        <row r="939">
          <cell r="B939">
            <v>34500</v>
          </cell>
          <cell r="C939">
            <v>833.16</v>
          </cell>
        </row>
        <row r="940">
          <cell r="B940">
            <v>34501</v>
          </cell>
          <cell r="C940">
            <v>833.35</v>
          </cell>
        </row>
        <row r="941">
          <cell r="B941">
            <v>34502</v>
          </cell>
          <cell r="C941">
            <v>831.28</v>
          </cell>
        </row>
        <row r="942">
          <cell r="B942">
            <v>34503</v>
          </cell>
          <cell r="C942">
            <v>826.61</v>
          </cell>
        </row>
        <row r="943">
          <cell r="B943">
            <v>34504</v>
          </cell>
          <cell r="C943">
            <v>826.61</v>
          </cell>
        </row>
        <row r="944">
          <cell r="B944">
            <v>34505</v>
          </cell>
          <cell r="C944">
            <v>826.61</v>
          </cell>
        </row>
        <row r="945">
          <cell r="B945">
            <v>34506</v>
          </cell>
          <cell r="C945">
            <v>828.94</v>
          </cell>
        </row>
        <row r="946">
          <cell r="B946">
            <v>34507</v>
          </cell>
          <cell r="C946">
            <v>826.9</v>
          </cell>
        </row>
        <row r="947">
          <cell r="B947">
            <v>34508</v>
          </cell>
          <cell r="C947">
            <v>824.76</v>
          </cell>
        </row>
        <row r="948">
          <cell r="B948">
            <v>34509</v>
          </cell>
          <cell r="C948">
            <v>822.87</v>
          </cell>
        </row>
        <row r="949">
          <cell r="B949">
            <v>34510</v>
          </cell>
          <cell r="C949">
            <v>821</v>
          </cell>
        </row>
        <row r="950">
          <cell r="B950">
            <v>34511</v>
          </cell>
          <cell r="C950">
            <v>821</v>
          </cell>
        </row>
        <row r="951">
          <cell r="B951">
            <v>34512</v>
          </cell>
          <cell r="C951">
            <v>821</v>
          </cell>
        </row>
        <row r="952">
          <cell r="B952">
            <v>34513</v>
          </cell>
          <cell r="C952">
            <v>820.13</v>
          </cell>
        </row>
        <row r="953">
          <cell r="B953">
            <v>34514</v>
          </cell>
          <cell r="C953">
            <v>818.73</v>
          </cell>
        </row>
        <row r="954">
          <cell r="B954">
            <v>34515</v>
          </cell>
          <cell r="C954">
            <v>819.64</v>
          </cell>
        </row>
        <row r="955">
          <cell r="B955">
            <v>34516</v>
          </cell>
          <cell r="C955">
            <v>818.05</v>
          </cell>
        </row>
        <row r="956">
          <cell r="B956">
            <v>34517</v>
          </cell>
          <cell r="C956">
            <v>817.92</v>
          </cell>
        </row>
        <row r="957">
          <cell r="B957">
            <v>34518</v>
          </cell>
          <cell r="C957">
            <v>817.92</v>
          </cell>
        </row>
        <row r="958">
          <cell r="B958">
            <v>34519</v>
          </cell>
          <cell r="C958">
            <v>817.92</v>
          </cell>
        </row>
        <row r="959">
          <cell r="B959">
            <v>34520</v>
          </cell>
          <cell r="C959">
            <v>817.92</v>
          </cell>
        </row>
        <row r="960">
          <cell r="B960">
            <v>34521</v>
          </cell>
          <cell r="C960">
            <v>818.45</v>
          </cell>
        </row>
        <row r="961">
          <cell r="B961">
            <v>34522</v>
          </cell>
          <cell r="C961">
            <v>820.42</v>
          </cell>
        </row>
        <row r="962">
          <cell r="B962">
            <v>34523</v>
          </cell>
          <cell r="C962">
            <v>820.24</v>
          </cell>
        </row>
        <row r="963">
          <cell r="B963">
            <v>34524</v>
          </cell>
          <cell r="C963">
            <v>822.34</v>
          </cell>
        </row>
        <row r="964">
          <cell r="B964">
            <v>34525</v>
          </cell>
          <cell r="C964">
            <v>822.34</v>
          </cell>
        </row>
        <row r="965">
          <cell r="B965">
            <v>34526</v>
          </cell>
          <cell r="C965">
            <v>822.34</v>
          </cell>
        </row>
        <row r="966">
          <cell r="B966">
            <v>34527</v>
          </cell>
          <cell r="C966">
            <v>822.14</v>
          </cell>
        </row>
        <row r="967">
          <cell r="B967">
            <v>34528</v>
          </cell>
          <cell r="C967">
            <v>823.12</v>
          </cell>
        </row>
        <row r="968">
          <cell r="B968">
            <v>34529</v>
          </cell>
          <cell r="C968">
            <v>822.79</v>
          </cell>
        </row>
        <row r="969">
          <cell r="B969">
            <v>34530</v>
          </cell>
          <cell r="C969">
            <v>822.28</v>
          </cell>
        </row>
        <row r="970">
          <cell r="B970">
            <v>34531</v>
          </cell>
          <cell r="C970">
            <v>821.04</v>
          </cell>
        </row>
        <row r="971">
          <cell r="B971">
            <v>34532</v>
          </cell>
          <cell r="C971">
            <v>821.04</v>
          </cell>
        </row>
        <row r="972">
          <cell r="B972">
            <v>34533</v>
          </cell>
          <cell r="C972">
            <v>821.04</v>
          </cell>
        </row>
        <row r="973">
          <cell r="B973">
            <v>34534</v>
          </cell>
          <cell r="C973">
            <v>818.44</v>
          </cell>
        </row>
        <row r="974">
          <cell r="B974">
            <v>34535</v>
          </cell>
          <cell r="C974">
            <v>817.49</v>
          </cell>
        </row>
        <row r="975">
          <cell r="B975">
            <v>34536</v>
          </cell>
          <cell r="C975">
            <v>817.49</v>
          </cell>
        </row>
        <row r="976">
          <cell r="B976">
            <v>34537</v>
          </cell>
          <cell r="C976">
            <v>817.18</v>
          </cell>
        </row>
        <row r="977">
          <cell r="B977">
            <v>34538</v>
          </cell>
          <cell r="C977">
            <v>816.68</v>
          </cell>
        </row>
        <row r="978">
          <cell r="B978">
            <v>34539</v>
          </cell>
          <cell r="C978">
            <v>816.68</v>
          </cell>
        </row>
        <row r="979">
          <cell r="B979">
            <v>34540</v>
          </cell>
          <cell r="C979">
            <v>816.68</v>
          </cell>
        </row>
        <row r="980">
          <cell r="B980">
            <v>34541</v>
          </cell>
          <cell r="C980">
            <v>816.34</v>
          </cell>
        </row>
        <row r="981">
          <cell r="B981">
            <v>34542</v>
          </cell>
          <cell r="C981">
            <v>815.75</v>
          </cell>
        </row>
        <row r="982">
          <cell r="B982">
            <v>34543</v>
          </cell>
          <cell r="C982">
            <v>815.8</v>
          </cell>
        </row>
        <row r="983">
          <cell r="B983">
            <v>34544</v>
          </cell>
          <cell r="C983">
            <v>815.62</v>
          </cell>
        </row>
        <row r="984">
          <cell r="B984">
            <v>34545</v>
          </cell>
          <cell r="C984">
            <v>815.62</v>
          </cell>
        </row>
        <row r="985">
          <cell r="B985">
            <v>34546</v>
          </cell>
          <cell r="C985">
            <v>815.62</v>
          </cell>
        </row>
        <row r="986">
          <cell r="B986">
            <v>34547</v>
          </cell>
          <cell r="C986">
            <v>815.62</v>
          </cell>
        </row>
        <row r="987">
          <cell r="B987">
            <v>34548</v>
          </cell>
          <cell r="C987">
            <v>815.89</v>
          </cell>
        </row>
        <row r="988">
          <cell r="B988">
            <v>34549</v>
          </cell>
          <cell r="C988">
            <v>814.53</v>
          </cell>
        </row>
        <row r="989">
          <cell r="B989">
            <v>34550</v>
          </cell>
          <cell r="C989">
            <v>812.69</v>
          </cell>
        </row>
        <row r="990">
          <cell r="B990">
            <v>34551</v>
          </cell>
          <cell r="C990">
            <v>812.57</v>
          </cell>
        </row>
        <row r="991">
          <cell r="B991">
            <v>34552</v>
          </cell>
          <cell r="C991">
            <v>811.91</v>
          </cell>
        </row>
        <row r="992">
          <cell r="B992">
            <v>34553</v>
          </cell>
          <cell r="C992">
            <v>811.91</v>
          </cell>
        </row>
        <row r="993">
          <cell r="B993">
            <v>34554</v>
          </cell>
          <cell r="C993">
            <v>811.91</v>
          </cell>
        </row>
        <row r="994">
          <cell r="B994">
            <v>34555</v>
          </cell>
          <cell r="C994">
            <v>812.39</v>
          </cell>
        </row>
        <row r="995">
          <cell r="B995">
            <v>34556</v>
          </cell>
          <cell r="C995">
            <v>813.64</v>
          </cell>
        </row>
        <row r="996">
          <cell r="B996">
            <v>34557</v>
          </cell>
          <cell r="C996">
            <v>815.4</v>
          </cell>
        </row>
        <row r="997">
          <cell r="B997">
            <v>34558</v>
          </cell>
          <cell r="C997">
            <v>815.84</v>
          </cell>
        </row>
        <row r="998">
          <cell r="B998">
            <v>34559</v>
          </cell>
          <cell r="C998">
            <v>814.94</v>
          </cell>
        </row>
        <row r="999">
          <cell r="B999">
            <v>34560</v>
          </cell>
          <cell r="C999">
            <v>814.94</v>
          </cell>
        </row>
        <row r="1000">
          <cell r="B1000">
            <v>34561</v>
          </cell>
          <cell r="C1000">
            <v>814.94</v>
          </cell>
        </row>
        <row r="1001">
          <cell r="B1001">
            <v>34562</v>
          </cell>
          <cell r="C1001">
            <v>814.94</v>
          </cell>
        </row>
        <row r="1002">
          <cell r="B1002">
            <v>34563</v>
          </cell>
          <cell r="C1002">
            <v>814.4</v>
          </cell>
        </row>
        <row r="1003">
          <cell r="B1003">
            <v>34564</v>
          </cell>
          <cell r="C1003">
            <v>813.93</v>
          </cell>
        </row>
        <row r="1004">
          <cell r="B1004">
            <v>34565</v>
          </cell>
          <cell r="C1004">
            <v>813.88</v>
          </cell>
        </row>
        <row r="1005">
          <cell r="B1005">
            <v>34566</v>
          </cell>
          <cell r="C1005">
            <v>813.76</v>
          </cell>
        </row>
        <row r="1006">
          <cell r="B1006">
            <v>34567</v>
          </cell>
          <cell r="C1006">
            <v>813.76</v>
          </cell>
        </row>
        <row r="1007">
          <cell r="B1007">
            <v>34568</v>
          </cell>
          <cell r="C1007">
            <v>813.76</v>
          </cell>
        </row>
        <row r="1008">
          <cell r="B1008">
            <v>34569</v>
          </cell>
          <cell r="C1008">
            <v>815.2</v>
          </cell>
        </row>
        <row r="1009">
          <cell r="B1009">
            <v>34570</v>
          </cell>
          <cell r="C1009">
            <v>816.58</v>
          </cell>
        </row>
        <row r="1010">
          <cell r="B1010">
            <v>34571</v>
          </cell>
          <cell r="C1010">
            <v>816.77</v>
          </cell>
        </row>
        <row r="1011">
          <cell r="B1011">
            <v>34572</v>
          </cell>
          <cell r="C1011">
            <v>817.4</v>
          </cell>
        </row>
        <row r="1012">
          <cell r="B1012">
            <v>34573</v>
          </cell>
          <cell r="C1012">
            <v>816.29</v>
          </cell>
        </row>
        <row r="1013">
          <cell r="B1013">
            <v>34574</v>
          </cell>
          <cell r="C1013">
            <v>816.29</v>
          </cell>
        </row>
        <row r="1014">
          <cell r="B1014">
            <v>34575</v>
          </cell>
          <cell r="C1014">
            <v>816.29</v>
          </cell>
        </row>
        <row r="1015">
          <cell r="B1015">
            <v>34576</v>
          </cell>
          <cell r="C1015">
            <v>816.18</v>
          </cell>
        </row>
        <row r="1016">
          <cell r="B1016">
            <v>34577</v>
          </cell>
          <cell r="C1016">
            <v>816.3</v>
          </cell>
        </row>
        <row r="1017">
          <cell r="B1017">
            <v>34578</v>
          </cell>
          <cell r="C1017">
            <v>816.08</v>
          </cell>
        </row>
        <row r="1018">
          <cell r="B1018">
            <v>34579</v>
          </cell>
          <cell r="C1018">
            <v>817.64</v>
          </cell>
        </row>
        <row r="1019">
          <cell r="B1019">
            <v>34580</v>
          </cell>
          <cell r="C1019">
            <v>818.81</v>
          </cell>
        </row>
        <row r="1020">
          <cell r="B1020">
            <v>34581</v>
          </cell>
          <cell r="C1020">
            <v>818.81</v>
          </cell>
        </row>
        <row r="1021">
          <cell r="B1021">
            <v>34582</v>
          </cell>
          <cell r="C1021">
            <v>818.81</v>
          </cell>
        </row>
        <row r="1022">
          <cell r="B1022">
            <v>34583</v>
          </cell>
          <cell r="C1022">
            <v>817.8</v>
          </cell>
        </row>
        <row r="1023">
          <cell r="B1023">
            <v>34584</v>
          </cell>
          <cell r="C1023">
            <v>818.21</v>
          </cell>
        </row>
        <row r="1024">
          <cell r="B1024">
            <v>34585</v>
          </cell>
          <cell r="C1024">
            <v>819.24</v>
          </cell>
        </row>
        <row r="1025">
          <cell r="B1025">
            <v>34586</v>
          </cell>
          <cell r="C1025">
            <v>820.02</v>
          </cell>
        </row>
        <row r="1026">
          <cell r="B1026">
            <v>34587</v>
          </cell>
          <cell r="C1026">
            <v>820.26</v>
          </cell>
        </row>
        <row r="1027">
          <cell r="B1027">
            <v>34588</v>
          </cell>
          <cell r="C1027">
            <v>820.26</v>
          </cell>
        </row>
        <row r="1028">
          <cell r="B1028">
            <v>34589</v>
          </cell>
          <cell r="C1028">
            <v>820.26</v>
          </cell>
        </row>
        <row r="1029">
          <cell r="B1029">
            <v>34590</v>
          </cell>
          <cell r="C1029">
            <v>821.62</v>
          </cell>
        </row>
        <row r="1030">
          <cell r="B1030">
            <v>34591</v>
          </cell>
          <cell r="C1030">
            <v>824.34</v>
          </cell>
        </row>
        <row r="1031">
          <cell r="B1031">
            <v>34592</v>
          </cell>
          <cell r="C1031">
            <v>827.86</v>
          </cell>
        </row>
        <row r="1032">
          <cell r="B1032">
            <v>34593</v>
          </cell>
          <cell r="C1032">
            <v>833.1</v>
          </cell>
        </row>
        <row r="1033">
          <cell r="B1033">
            <v>34594</v>
          </cell>
          <cell r="C1033">
            <v>837.21</v>
          </cell>
        </row>
        <row r="1034">
          <cell r="B1034">
            <v>34595</v>
          </cell>
          <cell r="C1034">
            <v>837.21</v>
          </cell>
        </row>
        <row r="1035">
          <cell r="B1035">
            <v>34596</v>
          </cell>
          <cell r="C1035">
            <v>837.21</v>
          </cell>
        </row>
        <row r="1036">
          <cell r="B1036">
            <v>34597</v>
          </cell>
          <cell r="C1036">
            <v>838.63</v>
          </cell>
        </row>
        <row r="1037">
          <cell r="B1037">
            <v>34598</v>
          </cell>
          <cell r="C1037">
            <v>841.82</v>
          </cell>
        </row>
        <row r="1038">
          <cell r="B1038">
            <v>34599</v>
          </cell>
          <cell r="C1038">
            <v>842.7</v>
          </cell>
        </row>
        <row r="1039">
          <cell r="B1039">
            <v>34600</v>
          </cell>
          <cell r="C1039">
            <v>841.53</v>
          </cell>
        </row>
        <row r="1040">
          <cell r="B1040">
            <v>34601</v>
          </cell>
          <cell r="C1040">
            <v>839.46</v>
          </cell>
        </row>
        <row r="1041">
          <cell r="B1041">
            <v>34602</v>
          </cell>
          <cell r="C1041">
            <v>839.46</v>
          </cell>
        </row>
        <row r="1042">
          <cell r="B1042">
            <v>34603</v>
          </cell>
          <cell r="C1042">
            <v>839.46</v>
          </cell>
        </row>
        <row r="1043">
          <cell r="B1043">
            <v>34604</v>
          </cell>
          <cell r="C1043">
            <v>840.23</v>
          </cell>
        </row>
        <row r="1044">
          <cell r="B1044">
            <v>34605</v>
          </cell>
          <cell r="C1044">
            <v>841.51</v>
          </cell>
        </row>
        <row r="1045">
          <cell r="B1045">
            <v>34606</v>
          </cell>
          <cell r="C1045">
            <v>841.32</v>
          </cell>
        </row>
        <row r="1046">
          <cell r="B1046">
            <v>34607</v>
          </cell>
          <cell r="C1046">
            <v>842</v>
          </cell>
        </row>
        <row r="1047">
          <cell r="B1047">
            <v>34608</v>
          </cell>
          <cell r="C1047">
            <v>843</v>
          </cell>
        </row>
        <row r="1048">
          <cell r="B1048">
            <v>34609</v>
          </cell>
          <cell r="C1048">
            <v>843</v>
          </cell>
        </row>
        <row r="1049">
          <cell r="B1049">
            <v>34610</v>
          </cell>
          <cell r="C1049">
            <v>843</v>
          </cell>
        </row>
        <row r="1050">
          <cell r="B1050">
            <v>34611</v>
          </cell>
          <cell r="C1050">
            <v>843.65</v>
          </cell>
        </row>
        <row r="1051">
          <cell r="B1051">
            <v>34612</v>
          </cell>
          <cell r="C1051">
            <v>844.4</v>
          </cell>
        </row>
        <row r="1052">
          <cell r="B1052">
            <v>34613</v>
          </cell>
          <cell r="C1052">
            <v>842.54</v>
          </cell>
        </row>
        <row r="1053">
          <cell r="B1053">
            <v>34614</v>
          </cell>
          <cell r="C1053">
            <v>840.06</v>
          </cell>
        </row>
        <row r="1054">
          <cell r="B1054">
            <v>34615</v>
          </cell>
          <cell r="C1054">
            <v>836.8</v>
          </cell>
        </row>
        <row r="1055">
          <cell r="B1055">
            <v>34616</v>
          </cell>
          <cell r="C1055">
            <v>836.8</v>
          </cell>
        </row>
        <row r="1056">
          <cell r="B1056">
            <v>34617</v>
          </cell>
          <cell r="C1056">
            <v>836.8</v>
          </cell>
        </row>
        <row r="1057">
          <cell r="B1057">
            <v>34618</v>
          </cell>
          <cell r="C1057">
            <v>835.59</v>
          </cell>
        </row>
        <row r="1058">
          <cell r="B1058">
            <v>34619</v>
          </cell>
          <cell r="C1058">
            <v>835.38</v>
          </cell>
        </row>
        <row r="1059">
          <cell r="B1059">
            <v>34620</v>
          </cell>
          <cell r="C1059">
            <v>836.4</v>
          </cell>
        </row>
        <row r="1060">
          <cell r="B1060">
            <v>34621</v>
          </cell>
          <cell r="C1060">
            <v>836.01</v>
          </cell>
        </row>
        <row r="1061">
          <cell r="B1061">
            <v>34622</v>
          </cell>
          <cell r="C1061">
            <v>834.83</v>
          </cell>
        </row>
        <row r="1062">
          <cell r="B1062">
            <v>34623</v>
          </cell>
          <cell r="C1062">
            <v>834.83</v>
          </cell>
        </row>
        <row r="1063">
          <cell r="B1063">
            <v>34624</v>
          </cell>
          <cell r="C1063">
            <v>834.83</v>
          </cell>
        </row>
        <row r="1064">
          <cell r="B1064">
            <v>34625</v>
          </cell>
          <cell r="C1064">
            <v>834.83</v>
          </cell>
        </row>
        <row r="1065">
          <cell r="B1065">
            <v>34626</v>
          </cell>
          <cell r="C1065">
            <v>835.33</v>
          </cell>
        </row>
        <row r="1066">
          <cell r="B1066">
            <v>34627</v>
          </cell>
          <cell r="C1066">
            <v>836.72</v>
          </cell>
        </row>
        <row r="1067">
          <cell r="B1067">
            <v>34628</v>
          </cell>
          <cell r="C1067">
            <v>838.32</v>
          </cell>
        </row>
        <row r="1068">
          <cell r="B1068">
            <v>34629</v>
          </cell>
          <cell r="C1068">
            <v>841.41</v>
          </cell>
        </row>
        <row r="1069">
          <cell r="B1069">
            <v>34630</v>
          </cell>
          <cell r="C1069">
            <v>841.41</v>
          </cell>
        </row>
        <row r="1070">
          <cell r="B1070">
            <v>34631</v>
          </cell>
          <cell r="C1070">
            <v>841.41</v>
          </cell>
        </row>
        <row r="1071">
          <cell r="B1071">
            <v>34632</v>
          </cell>
          <cell r="C1071">
            <v>842.6</v>
          </cell>
        </row>
        <row r="1072">
          <cell r="B1072">
            <v>34633</v>
          </cell>
          <cell r="C1072">
            <v>843.48</v>
          </cell>
        </row>
        <row r="1073">
          <cell r="B1073">
            <v>34634</v>
          </cell>
          <cell r="C1073">
            <v>841.32</v>
          </cell>
        </row>
        <row r="1074">
          <cell r="B1074">
            <v>34635</v>
          </cell>
          <cell r="C1074">
            <v>840.05</v>
          </cell>
        </row>
        <row r="1075">
          <cell r="B1075">
            <v>34636</v>
          </cell>
          <cell r="C1075">
            <v>838.55</v>
          </cell>
        </row>
        <row r="1076">
          <cell r="B1076">
            <v>34637</v>
          </cell>
          <cell r="C1076">
            <v>838.55</v>
          </cell>
        </row>
        <row r="1077">
          <cell r="B1077">
            <v>34638</v>
          </cell>
          <cell r="C1077">
            <v>838.55</v>
          </cell>
        </row>
        <row r="1078">
          <cell r="B1078">
            <v>34639</v>
          </cell>
          <cell r="C1078">
            <v>837.62</v>
          </cell>
        </row>
        <row r="1079">
          <cell r="B1079">
            <v>34640</v>
          </cell>
          <cell r="C1079">
            <v>837.79</v>
          </cell>
        </row>
        <row r="1080">
          <cell r="B1080">
            <v>34641</v>
          </cell>
          <cell r="C1080">
            <v>836.18</v>
          </cell>
        </row>
        <row r="1081">
          <cell r="B1081">
            <v>34642</v>
          </cell>
          <cell r="C1081">
            <v>833.19</v>
          </cell>
        </row>
        <row r="1082">
          <cell r="B1082">
            <v>34643</v>
          </cell>
          <cell r="C1082">
            <v>831.25</v>
          </cell>
        </row>
        <row r="1083">
          <cell r="B1083">
            <v>34644</v>
          </cell>
          <cell r="C1083">
            <v>831.25</v>
          </cell>
        </row>
        <row r="1084">
          <cell r="B1084">
            <v>34645</v>
          </cell>
          <cell r="C1084">
            <v>831.25</v>
          </cell>
        </row>
        <row r="1085">
          <cell r="B1085">
            <v>34646</v>
          </cell>
          <cell r="C1085">
            <v>831.25</v>
          </cell>
        </row>
        <row r="1086">
          <cell r="B1086">
            <v>34647</v>
          </cell>
          <cell r="C1086">
            <v>829.09</v>
          </cell>
        </row>
        <row r="1087">
          <cell r="B1087">
            <v>34648</v>
          </cell>
          <cell r="C1087">
            <v>826.84</v>
          </cell>
        </row>
        <row r="1088">
          <cell r="B1088">
            <v>34649</v>
          </cell>
          <cell r="C1088">
            <v>825.17</v>
          </cell>
        </row>
        <row r="1089">
          <cell r="B1089">
            <v>34650</v>
          </cell>
          <cell r="C1089">
            <v>825.87</v>
          </cell>
        </row>
        <row r="1090">
          <cell r="B1090">
            <v>34651</v>
          </cell>
          <cell r="C1090">
            <v>825.87</v>
          </cell>
        </row>
        <row r="1091">
          <cell r="B1091">
            <v>34652</v>
          </cell>
          <cell r="C1091">
            <v>825.87</v>
          </cell>
        </row>
        <row r="1092">
          <cell r="B1092">
            <v>34653</v>
          </cell>
          <cell r="C1092">
            <v>825.87</v>
          </cell>
        </row>
        <row r="1093">
          <cell r="B1093">
            <v>34654</v>
          </cell>
          <cell r="C1093">
            <v>826.45</v>
          </cell>
        </row>
        <row r="1094">
          <cell r="B1094">
            <v>34655</v>
          </cell>
          <cell r="C1094">
            <v>828.74</v>
          </cell>
        </row>
        <row r="1095">
          <cell r="B1095">
            <v>34656</v>
          </cell>
          <cell r="C1095">
            <v>830.49</v>
          </cell>
        </row>
        <row r="1096">
          <cell r="B1096">
            <v>34657</v>
          </cell>
          <cell r="C1096">
            <v>828.46</v>
          </cell>
        </row>
        <row r="1097">
          <cell r="B1097">
            <v>34658</v>
          </cell>
          <cell r="C1097">
            <v>828.46</v>
          </cell>
        </row>
        <row r="1098">
          <cell r="B1098">
            <v>34659</v>
          </cell>
          <cell r="C1098">
            <v>828.46</v>
          </cell>
        </row>
        <row r="1099">
          <cell r="B1099">
            <v>34660</v>
          </cell>
          <cell r="C1099">
            <v>829.08</v>
          </cell>
        </row>
        <row r="1100">
          <cell r="B1100">
            <v>34661</v>
          </cell>
          <cell r="C1100">
            <v>830.74</v>
          </cell>
        </row>
        <row r="1101">
          <cell r="B1101">
            <v>34662</v>
          </cell>
          <cell r="C1101">
            <v>828.67</v>
          </cell>
        </row>
        <row r="1102">
          <cell r="B1102">
            <v>34663</v>
          </cell>
          <cell r="C1102">
            <v>828.76</v>
          </cell>
        </row>
        <row r="1103">
          <cell r="B1103">
            <v>34664</v>
          </cell>
          <cell r="C1103">
            <v>828.42</v>
          </cell>
        </row>
        <row r="1104">
          <cell r="B1104">
            <v>34665</v>
          </cell>
          <cell r="C1104">
            <v>828.42</v>
          </cell>
        </row>
        <row r="1105">
          <cell r="B1105">
            <v>34666</v>
          </cell>
          <cell r="C1105">
            <v>828.42</v>
          </cell>
        </row>
        <row r="1106">
          <cell r="B1106">
            <v>34667</v>
          </cell>
          <cell r="C1106">
            <v>828.66</v>
          </cell>
        </row>
        <row r="1107">
          <cell r="B1107">
            <v>34668</v>
          </cell>
          <cell r="C1107">
            <v>829.03</v>
          </cell>
        </row>
        <row r="1108">
          <cell r="B1108">
            <v>34669</v>
          </cell>
          <cell r="C1108">
            <v>829.29</v>
          </cell>
        </row>
        <row r="1109">
          <cell r="B1109">
            <v>34670</v>
          </cell>
          <cell r="C1109">
            <v>829.56</v>
          </cell>
        </row>
        <row r="1110">
          <cell r="B1110">
            <v>34671</v>
          </cell>
          <cell r="C1110">
            <v>830</v>
          </cell>
        </row>
        <row r="1111">
          <cell r="B1111">
            <v>34672</v>
          </cell>
          <cell r="C1111">
            <v>830</v>
          </cell>
        </row>
        <row r="1112">
          <cell r="B1112">
            <v>34673</v>
          </cell>
          <cell r="C1112">
            <v>830</v>
          </cell>
        </row>
        <row r="1113">
          <cell r="B1113">
            <v>34674</v>
          </cell>
          <cell r="C1113">
            <v>830.37</v>
          </cell>
        </row>
        <row r="1114">
          <cell r="B1114">
            <v>34675</v>
          </cell>
          <cell r="C1114">
            <v>830.85</v>
          </cell>
        </row>
        <row r="1115">
          <cell r="B1115">
            <v>34676</v>
          </cell>
          <cell r="C1115">
            <v>831.1</v>
          </cell>
        </row>
        <row r="1116">
          <cell r="B1116">
            <v>34677</v>
          </cell>
          <cell r="C1116">
            <v>831.1</v>
          </cell>
        </row>
        <row r="1117">
          <cell r="B1117">
            <v>34678</v>
          </cell>
          <cell r="C1117">
            <v>831.49</v>
          </cell>
        </row>
        <row r="1118">
          <cell r="B1118">
            <v>34679</v>
          </cell>
          <cell r="C1118">
            <v>831.49</v>
          </cell>
        </row>
        <row r="1119">
          <cell r="B1119">
            <v>34680</v>
          </cell>
          <cell r="C1119">
            <v>831.49</v>
          </cell>
        </row>
        <row r="1120">
          <cell r="B1120">
            <v>34681</v>
          </cell>
          <cell r="C1120">
            <v>831.91</v>
          </cell>
        </row>
        <row r="1121">
          <cell r="B1121">
            <v>34682</v>
          </cell>
          <cell r="C1121">
            <v>824.68</v>
          </cell>
        </row>
        <row r="1122">
          <cell r="B1122">
            <v>34683</v>
          </cell>
          <cell r="C1122">
            <v>825</v>
          </cell>
        </row>
        <row r="1123">
          <cell r="B1123">
            <v>34684</v>
          </cell>
          <cell r="C1123">
            <v>827.6</v>
          </cell>
        </row>
        <row r="1124">
          <cell r="B1124">
            <v>34685</v>
          </cell>
          <cell r="C1124">
            <v>829.72</v>
          </cell>
        </row>
        <row r="1125">
          <cell r="B1125">
            <v>34686</v>
          </cell>
          <cell r="C1125">
            <v>829.72</v>
          </cell>
        </row>
        <row r="1126">
          <cell r="B1126">
            <v>34687</v>
          </cell>
          <cell r="C1126">
            <v>829.72</v>
          </cell>
        </row>
        <row r="1127">
          <cell r="B1127">
            <v>34688</v>
          </cell>
          <cell r="C1127">
            <v>831.06</v>
          </cell>
        </row>
        <row r="1128">
          <cell r="B1128">
            <v>34689</v>
          </cell>
          <cell r="C1128">
            <v>830.16</v>
          </cell>
        </row>
        <row r="1129">
          <cell r="B1129">
            <v>34690</v>
          </cell>
          <cell r="C1129">
            <v>827.95</v>
          </cell>
        </row>
        <row r="1130">
          <cell r="B1130">
            <v>34691</v>
          </cell>
          <cell r="C1130">
            <v>827.7</v>
          </cell>
        </row>
        <row r="1131">
          <cell r="B1131">
            <v>34692</v>
          </cell>
          <cell r="C1131">
            <v>826.47</v>
          </cell>
        </row>
        <row r="1132">
          <cell r="B1132">
            <v>34693</v>
          </cell>
          <cell r="C1132">
            <v>826.47</v>
          </cell>
        </row>
        <row r="1133">
          <cell r="B1133">
            <v>34694</v>
          </cell>
          <cell r="C1133">
            <v>826.47</v>
          </cell>
        </row>
        <row r="1134">
          <cell r="B1134">
            <v>34695</v>
          </cell>
          <cell r="C1134">
            <v>827.33</v>
          </cell>
        </row>
        <row r="1135">
          <cell r="B1135">
            <v>34696</v>
          </cell>
          <cell r="C1135">
            <v>829.95</v>
          </cell>
        </row>
        <row r="1136">
          <cell r="B1136">
            <v>34697</v>
          </cell>
          <cell r="C1136">
            <v>831.6</v>
          </cell>
        </row>
        <row r="1137">
          <cell r="B1137">
            <v>34698</v>
          </cell>
          <cell r="C1137">
            <v>831.27</v>
          </cell>
        </row>
        <row r="1138">
          <cell r="B1138">
            <v>34699</v>
          </cell>
          <cell r="C1138">
            <v>831.27</v>
          </cell>
        </row>
        <row r="1139">
          <cell r="B1139">
            <v>34700</v>
          </cell>
          <cell r="C1139">
            <v>831.27</v>
          </cell>
        </row>
        <row r="1140">
          <cell r="B1140">
            <v>34701</v>
          </cell>
          <cell r="C1140">
            <v>831.27</v>
          </cell>
        </row>
        <row r="1141">
          <cell r="B1141">
            <v>34702</v>
          </cell>
          <cell r="C1141">
            <v>833.18</v>
          </cell>
        </row>
        <row r="1142">
          <cell r="B1142">
            <v>34703</v>
          </cell>
          <cell r="C1142">
            <v>835.38</v>
          </cell>
        </row>
        <row r="1143">
          <cell r="B1143">
            <v>34704</v>
          </cell>
          <cell r="C1143">
            <v>838.33</v>
          </cell>
        </row>
        <row r="1144">
          <cell r="B1144">
            <v>34705</v>
          </cell>
          <cell r="C1144">
            <v>838.87</v>
          </cell>
        </row>
        <row r="1145">
          <cell r="B1145">
            <v>34706</v>
          </cell>
          <cell r="C1145">
            <v>837.07</v>
          </cell>
        </row>
        <row r="1146">
          <cell r="B1146">
            <v>34707</v>
          </cell>
          <cell r="C1146">
            <v>837.07</v>
          </cell>
        </row>
        <row r="1147">
          <cell r="B1147">
            <v>34708</v>
          </cell>
          <cell r="C1147">
            <v>837.07</v>
          </cell>
        </row>
        <row r="1148">
          <cell r="B1148">
            <v>34709</v>
          </cell>
          <cell r="C1148">
            <v>837.07</v>
          </cell>
        </row>
        <row r="1149">
          <cell r="B1149">
            <v>34710</v>
          </cell>
          <cell r="C1149">
            <v>840.36</v>
          </cell>
        </row>
        <row r="1150">
          <cell r="B1150">
            <v>34711</v>
          </cell>
          <cell r="C1150">
            <v>843.69</v>
          </cell>
        </row>
        <row r="1151">
          <cell r="B1151">
            <v>34712</v>
          </cell>
          <cell r="C1151">
            <v>841.52</v>
          </cell>
        </row>
        <row r="1152">
          <cell r="B1152">
            <v>34713</v>
          </cell>
          <cell r="C1152">
            <v>843.7</v>
          </cell>
        </row>
        <row r="1153">
          <cell r="B1153">
            <v>34714</v>
          </cell>
          <cell r="C1153">
            <v>843.7</v>
          </cell>
        </row>
        <row r="1154">
          <cell r="B1154">
            <v>34715</v>
          </cell>
          <cell r="C1154">
            <v>843.7</v>
          </cell>
        </row>
        <row r="1155">
          <cell r="B1155">
            <v>34716</v>
          </cell>
          <cell r="C1155">
            <v>846.61</v>
          </cell>
        </row>
        <row r="1156">
          <cell r="B1156">
            <v>34717</v>
          </cell>
          <cell r="C1156">
            <v>847.61</v>
          </cell>
        </row>
        <row r="1157">
          <cell r="B1157">
            <v>34718</v>
          </cell>
          <cell r="C1157">
            <v>850.26</v>
          </cell>
        </row>
        <row r="1158">
          <cell r="B1158">
            <v>34719</v>
          </cell>
          <cell r="C1158">
            <v>852.68</v>
          </cell>
        </row>
        <row r="1159">
          <cell r="B1159">
            <v>34720</v>
          </cell>
          <cell r="C1159">
            <v>855.54</v>
          </cell>
        </row>
        <row r="1160">
          <cell r="B1160">
            <v>34721</v>
          </cell>
          <cell r="C1160">
            <v>855.54</v>
          </cell>
        </row>
        <row r="1161">
          <cell r="B1161">
            <v>34722</v>
          </cell>
          <cell r="C1161">
            <v>855.54</v>
          </cell>
        </row>
        <row r="1162">
          <cell r="B1162">
            <v>34723</v>
          </cell>
          <cell r="C1162">
            <v>855.49</v>
          </cell>
        </row>
        <row r="1163">
          <cell r="B1163">
            <v>34724</v>
          </cell>
          <cell r="C1163">
            <v>856.65</v>
          </cell>
        </row>
        <row r="1164">
          <cell r="B1164">
            <v>34725</v>
          </cell>
          <cell r="C1164">
            <v>857.56</v>
          </cell>
        </row>
        <row r="1165">
          <cell r="B1165">
            <v>34726</v>
          </cell>
          <cell r="C1165">
            <v>859.3</v>
          </cell>
        </row>
        <row r="1166">
          <cell r="B1166">
            <v>34727</v>
          </cell>
          <cell r="C1166">
            <v>857.83</v>
          </cell>
        </row>
        <row r="1167">
          <cell r="B1167">
            <v>34728</v>
          </cell>
          <cell r="C1167">
            <v>857.83</v>
          </cell>
        </row>
        <row r="1168">
          <cell r="B1168">
            <v>34729</v>
          </cell>
          <cell r="C1168">
            <v>857.83</v>
          </cell>
        </row>
        <row r="1169">
          <cell r="B1169">
            <v>34730</v>
          </cell>
          <cell r="C1169">
            <v>856.41</v>
          </cell>
        </row>
        <row r="1170">
          <cell r="B1170">
            <v>34731</v>
          </cell>
          <cell r="C1170">
            <v>857.16</v>
          </cell>
        </row>
        <row r="1171">
          <cell r="B1171">
            <v>34732</v>
          </cell>
          <cell r="C1171">
            <v>855.76</v>
          </cell>
        </row>
        <row r="1172">
          <cell r="B1172">
            <v>34733</v>
          </cell>
          <cell r="C1172">
            <v>852.22</v>
          </cell>
        </row>
        <row r="1173">
          <cell r="B1173">
            <v>34734</v>
          </cell>
          <cell r="C1173">
            <v>848.82</v>
          </cell>
        </row>
        <row r="1174">
          <cell r="B1174">
            <v>34735</v>
          </cell>
          <cell r="C1174">
            <v>848.82</v>
          </cell>
        </row>
        <row r="1175">
          <cell r="B1175">
            <v>34736</v>
          </cell>
          <cell r="C1175">
            <v>848.82</v>
          </cell>
        </row>
        <row r="1176">
          <cell r="B1176">
            <v>34737</v>
          </cell>
          <cell r="C1176">
            <v>848.27</v>
          </cell>
        </row>
        <row r="1177">
          <cell r="B1177">
            <v>34738</v>
          </cell>
          <cell r="C1177">
            <v>848.43</v>
          </cell>
        </row>
        <row r="1178">
          <cell r="B1178">
            <v>34739</v>
          </cell>
          <cell r="C1178">
            <v>847.04</v>
          </cell>
        </row>
        <row r="1179">
          <cell r="B1179">
            <v>34740</v>
          </cell>
          <cell r="C1179">
            <v>845.73</v>
          </cell>
        </row>
        <row r="1180">
          <cell r="B1180">
            <v>34741</v>
          </cell>
          <cell r="C1180">
            <v>845.37</v>
          </cell>
        </row>
        <row r="1181">
          <cell r="B1181">
            <v>34742</v>
          </cell>
          <cell r="C1181">
            <v>845.37</v>
          </cell>
        </row>
        <row r="1182">
          <cell r="B1182">
            <v>34743</v>
          </cell>
          <cell r="C1182">
            <v>845.37</v>
          </cell>
        </row>
        <row r="1183">
          <cell r="B1183">
            <v>34744</v>
          </cell>
          <cell r="C1183">
            <v>846.2</v>
          </cell>
        </row>
        <row r="1184">
          <cell r="B1184">
            <v>34745</v>
          </cell>
          <cell r="C1184">
            <v>848.15</v>
          </cell>
        </row>
        <row r="1185">
          <cell r="B1185">
            <v>34746</v>
          </cell>
          <cell r="C1185">
            <v>848.52</v>
          </cell>
        </row>
        <row r="1186">
          <cell r="B1186">
            <v>34747</v>
          </cell>
          <cell r="C1186">
            <v>848.9</v>
          </cell>
        </row>
        <row r="1187">
          <cell r="B1187">
            <v>34748</v>
          </cell>
          <cell r="C1187">
            <v>849.41</v>
          </cell>
        </row>
        <row r="1188">
          <cell r="B1188">
            <v>34749</v>
          </cell>
          <cell r="C1188">
            <v>849.41</v>
          </cell>
        </row>
        <row r="1189">
          <cell r="B1189">
            <v>34750</v>
          </cell>
          <cell r="C1189">
            <v>849.41</v>
          </cell>
        </row>
        <row r="1190">
          <cell r="B1190">
            <v>34751</v>
          </cell>
          <cell r="C1190">
            <v>851.88</v>
          </cell>
        </row>
        <row r="1191">
          <cell r="B1191">
            <v>34752</v>
          </cell>
          <cell r="C1191">
            <v>853.63</v>
          </cell>
        </row>
        <row r="1192">
          <cell r="B1192">
            <v>34753</v>
          </cell>
          <cell r="C1192">
            <v>855.32</v>
          </cell>
        </row>
        <row r="1193">
          <cell r="B1193">
            <v>34754</v>
          </cell>
          <cell r="C1193">
            <v>855.48</v>
          </cell>
        </row>
        <row r="1194">
          <cell r="B1194">
            <v>34755</v>
          </cell>
          <cell r="C1194">
            <v>854.71</v>
          </cell>
        </row>
        <row r="1195">
          <cell r="B1195">
            <v>34756</v>
          </cell>
          <cell r="C1195">
            <v>854.71</v>
          </cell>
        </row>
        <row r="1196">
          <cell r="B1196">
            <v>34757</v>
          </cell>
          <cell r="C1196">
            <v>854.71</v>
          </cell>
        </row>
        <row r="1197">
          <cell r="B1197">
            <v>34758</v>
          </cell>
          <cell r="C1197">
            <v>856.99</v>
          </cell>
        </row>
        <row r="1198">
          <cell r="B1198">
            <v>34759</v>
          </cell>
          <cell r="C1198">
            <v>857.85</v>
          </cell>
        </row>
        <row r="1199">
          <cell r="B1199">
            <v>34760</v>
          </cell>
          <cell r="C1199">
            <v>858.87</v>
          </cell>
        </row>
        <row r="1200">
          <cell r="B1200">
            <v>34761</v>
          </cell>
          <cell r="C1200">
            <v>861.33</v>
          </cell>
        </row>
        <row r="1201">
          <cell r="B1201">
            <v>34762</v>
          </cell>
          <cell r="C1201">
            <v>859.65</v>
          </cell>
        </row>
        <row r="1202">
          <cell r="B1202">
            <v>34763</v>
          </cell>
          <cell r="C1202">
            <v>859.65</v>
          </cell>
        </row>
        <row r="1203">
          <cell r="B1203">
            <v>34764</v>
          </cell>
          <cell r="C1203">
            <v>859.65</v>
          </cell>
        </row>
        <row r="1204">
          <cell r="B1204">
            <v>34765</v>
          </cell>
          <cell r="C1204">
            <v>858.95</v>
          </cell>
        </row>
        <row r="1205">
          <cell r="B1205">
            <v>34766</v>
          </cell>
          <cell r="C1205">
            <v>861.13</v>
          </cell>
        </row>
        <row r="1206">
          <cell r="B1206">
            <v>34767</v>
          </cell>
          <cell r="C1206">
            <v>862.41</v>
          </cell>
        </row>
        <row r="1207">
          <cell r="B1207">
            <v>34768</v>
          </cell>
          <cell r="C1207">
            <v>863.06</v>
          </cell>
        </row>
        <row r="1208">
          <cell r="B1208">
            <v>34769</v>
          </cell>
          <cell r="C1208">
            <v>865.36</v>
          </cell>
        </row>
        <row r="1209">
          <cell r="B1209">
            <v>34770</v>
          </cell>
          <cell r="C1209">
            <v>865.36</v>
          </cell>
        </row>
        <row r="1210">
          <cell r="B1210">
            <v>34771</v>
          </cell>
          <cell r="C1210">
            <v>865.36</v>
          </cell>
        </row>
        <row r="1211">
          <cell r="B1211">
            <v>34772</v>
          </cell>
          <cell r="C1211">
            <v>865.92</v>
          </cell>
        </row>
        <row r="1212">
          <cell r="B1212">
            <v>34773</v>
          </cell>
          <cell r="C1212">
            <v>866.96</v>
          </cell>
        </row>
        <row r="1213">
          <cell r="B1213">
            <v>34774</v>
          </cell>
          <cell r="C1213">
            <v>866.4</v>
          </cell>
        </row>
        <row r="1214">
          <cell r="B1214">
            <v>34775</v>
          </cell>
          <cell r="C1214">
            <v>865.63</v>
          </cell>
        </row>
        <row r="1215">
          <cell r="B1215">
            <v>34776</v>
          </cell>
          <cell r="C1215">
            <v>863.77</v>
          </cell>
        </row>
        <row r="1216">
          <cell r="B1216">
            <v>34777</v>
          </cell>
          <cell r="C1216">
            <v>863.77</v>
          </cell>
        </row>
        <row r="1217">
          <cell r="B1217">
            <v>34778</v>
          </cell>
          <cell r="C1217">
            <v>863.77</v>
          </cell>
        </row>
        <row r="1218">
          <cell r="B1218">
            <v>34779</v>
          </cell>
          <cell r="C1218">
            <v>863.77</v>
          </cell>
        </row>
        <row r="1219">
          <cell r="B1219">
            <v>34780</v>
          </cell>
          <cell r="C1219">
            <v>865.89</v>
          </cell>
        </row>
        <row r="1220">
          <cell r="B1220">
            <v>34781</v>
          </cell>
          <cell r="C1220">
            <v>867.81</v>
          </cell>
        </row>
        <row r="1221">
          <cell r="B1221">
            <v>34782</v>
          </cell>
          <cell r="C1221">
            <v>868.95</v>
          </cell>
        </row>
        <row r="1222">
          <cell r="B1222">
            <v>34783</v>
          </cell>
          <cell r="C1222">
            <v>869.22</v>
          </cell>
        </row>
        <row r="1223">
          <cell r="B1223">
            <v>34784</v>
          </cell>
          <cell r="C1223">
            <v>869.22</v>
          </cell>
        </row>
        <row r="1224">
          <cell r="B1224">
            <v>34785</v>
          </cell>
          <cell r="C1224">
            <v>869.22</v>
          </cell>
        </row>
        <row r="1225">
          <cell r="B1225">
            <v>34786</v>
          </cell>
          <cell r="C1225">
            <v>870.14</v>
          </cell>
        </row>
        <row r="1226">
          <cell r="B1226">
            <v>34787</v>
          </cell>
          <cell r="C1226">
            <v>872.57</v>
          </cell>
        </row>
        <row r="1227">
          <cell r="B1227">
            <v>34788</v>
          </cell>
          <cell r="C1227">
            <v>876.21</v>
          </cell>
        </row>
        <row r="1228">
          <cell r="B1228">
            <v>34789</v>
          </cell>
          <cell r="C1228">
            <v>880.23</v>
          </cell>
        </row>
        <row r="1229">
          <cell r="B1229">
            <v>34790</v>
          </cell>
          <cell r="C1229">
            <v>878.18</v>
          </cell>
        </row>
        <row r="1230">
          <cell r="B1230">
            <v>34791</v>
          </cell>
          <cell r="C1230">
            <v>878.18</v>
          </cell>
        </row>
        <row r="1231">
          <cell r="B1231">
            <v>34792</v>
          </cell>
          <cell r="C1231">
            <v>878.18</v>
          </cell>
        </row>
        <row r="1232">
          <cell r="B1232">
            <v>34793</v>
          </cell>
          <cell r="C1232">
            <v>876</v>
          </cell>
        </row>
        <row r="1233">
          <cell r="B1233">
            <v>34794</v>
          </cell>
          <cell r="C1233">
            <v>874.3</v>
          </cell>
        </row>
        <row r="1234">
          <cell r="B1234">
            <v>34795</v>
          </cell>
          <cell r="C1234">
            <v>871.6</v>
          </cell>
        </row>
        <row r="1235">
          <cell r="B1235">
            <v>34796</v>
          </cell>
          <cell r="C1235">
            <v>868.96</v>
          </cell>
        </row>
        <row r="1236">
          <cell r="B1236">
            <v>34797</v>
          </cell>
          <cell r="C1236">
            <v>869.15</v>
          </cell>
        </row>
        <row r="1237">
          <cell r="B1237">
            <v>34798</v>
          </cell>
          <cell r="C1237">
            <v>869.15</v>
          </cell>
        </row>
        <row r="1238">
          <cell r="B1238">
            <v>34799</v>
          </cell>
          <cell r="C1238">
            <v>869.15</v>
          </cell>
        </row>
        <row r="1239">
          <cell r="B1239">
            <v>34800</v>
          </cell>
          <cell r="C1239">
            <v>866.78</v>
          </cell>
        </row>
        <row r="1240">
          <cell r="B1240">
            <v>34801</v>
          </cell>
          <cell r="C1240">
            <v>868.8</v>
          </cell>
        </row>
        <row r="1241">
          <cell r="B1241">
            <v>34802</v>
          </cell>
          <cell r="C1241">
            <v>866.25</v>
          </cell>
        </row>
        <row r="1242">
          <cell r="B1242">
            <v>34803</v>
          </cell>
          <cell r="C1242">
            <v>866.25</v>
          </cell>
        </row>
        <row r="1243">
          <cell r="B1243">
            <v>34804</v>
          </cell>
          <cell r="C1243">
            <v>866.25</v>
          </cell>
        </row>
        <row r="1244">
          <cell r="B1244">
            <v>34805</v>
          </cell>
          <cell r="C1244">
            <v>866.25</v>
          </cell>
        </row>
        <row r="1245">
          <cell r="B1245">
            <v>34806</v>
          </cell>
          <cell r="C1245">
            <v>866.25</v>
          </cell>
        </row>
        <row r="1246">
          <cell r="B1246">
            <v>34807</v>
          </cell>
          <cell r="C1246">
            <v>871.87</v>
          </cell>
        </row>
        <row r="1247">
          <cell r="B1247">
            <v>34808</v>
          </cell>
          <cell r="C1247">
            <v>874.37</v>
          </cell>
        </row>
        <row r="1248">
          <cell r="B1248">
            <v>34809</v>
          </cell>
          <cell r="C1248">
            <v>874.35</v>
          </cell>
        </row>
        <row r="1249">
          <cell r="B1249">
            <v>34810</v>
          </cell>
          <cell r="C1249">
            <v>877.38</v>
          </cell>
        </row>
        <row r="1250">
          <cell r="B1250">
            <v>34811</v>
          </cell>
          <cell r="C1250">
            <v>876.55</v>
          </cell>
        </row>
        <row r="1251">
          <cell r="B1251">
            <v>34812</v>
          </cell>
          <cell r="C1251">
            <v>876.55</v>
          </cell>
        </row>
        <row r="1252">
          <cell r="B1252">
            <v>34813</v>
          </cell>
          <cell r="C1252">
            <v>876.55</v>
          </cell>
        </row>
        <row r="1253">
          <cell r="B1253">
            <v>34814</v>
          </cell>
          <cell r="C1253">
            <v>878.2</v>
          </cell>
        </row>
        <row r="1254">
          <cell r="B1254">
            <v>34815</v>
          </cell>
          <cell r="C1254">
            <v>876.32</v>
          </cell>
        </row>
        <row r="1255">
          <cell r="B1255">
            <v>34816</v>
          </cell>
          <cell r="C1255">
            <v>875.78</v>
          </cell>
        </row>
        <row r="1256">
          <cell r="B1256">
            <v>34817</v>
          </cell>
          <cell r="C1256">
            <v>876.21</v>
          </cell>
        </row>
        <row r="1257">
          <cell r="B1257">
            <v>34818</v>
          </cell>
          <cell r="C1257">
            <v>877.9</v>
          </cell>
        </row>
        <row r="1258">
          <cell r="B1258">
            <v>34819</v>
          </cell>
          <cell r="C1258">
            <v>877.9</v>
          </cell>
        </row>
        <row r="1259">
          <cell r="B1259">
            <v>34820</v>
          </cell>
          <cell r="C1259">
            <v>877.9</v>
          </cell>
        </row>
        <row r="1260">
          <cell r="B1260">
            <v>34821</v>
          </cell>
          <cell r="C1260">
            <v>877.9</v>
          </cell>
        </row>
        <row r="1261">
          <cell r="B1261">
            <v>34822</v>
          </cell>
          <cell r="C1261">
            <v>880.63</v>
          </cell>
        </row>
        <row r="1262">
          <cell r="B1262">
            <v>34823</v>
          </cell>
          <cell r="C1262">
            <v>882.97</v>
          </cell>
        </row>
        <row r="1263">
          <cell r="B1263">
            <v>34824</v>
          </cell>
          <cell r="C1263">
            <v>882.24</v>
          </cell>
        </row>
        <row r="1264">
          <cell r="B1264">
            <v>34825</v>
          </cell>
          <cell r="C1264">
            <v>881.07</v>
          </cell>
        </row>
        <row r="1265">
          <cell r="B1265">
            <v>34826</v>
          </cell>
          <cell r="C1265">
            <v>881.07</v>
          </cell>
        </row>
        <row r="1266">
          <cell r="B1266">
            <v>34827</v>
          </cell>
          <cell r="C1266">
            <v>881.07</v>
          </cell>
        </row>
        <row r="1267">
          <cell r="B1267">
            <v>34828</v>
          </cell>
          <cell r="C1267">
            <v>881.33</v>
          </cell>
        </row>
        <row r="1268">
          <cell r="B1268">
            <v>34829</v>
          </cell>
          <cell r="C1268">
            <v>878.87</v>
          </cell>
        </row>
        <row r="1269">
          <cell r="B1269">
            <v>34830</v>
          </cell>
          <cell r="C1269">
            <v>880.25</v>
          </cell>
        </row>
        <row r="1270">
          <cell r="B1270">
            <v>34831</v>
          </cell>
          <cell r="C1270">
            <v>881.07</v>
          </cell>
        </row>
        <row r="1271">
          <cell r="B1271">
            <v>34832</v>
          </cell>
          <cell r="C1271">
            <v>879.35</v>
          </cell>
        </row>
        <row r="1272">
          <cell r="B1272">
            <v>34833</v>
          </cell>
          <cell r="C1272">
            <v>879.35</v>
          </cell>
        </row>
        <row r="1273">
          <cell r="B1273">
            <v>34834</v>
          </cell>
          <cell r="C1273">
            <v>879.35</v>
          </cell>
        </row>
        <row r="1274">
          <cell r="B1274">
            <v>34835</v>
          </cell>
          <cell r="C1274">
            <v>877.45</v>
          </cell>
        </row>
        <row r="1275">
          <cell r="B1275">
            <v>34836</v>
          </cell>
          <cell r="C1275">
            <v>875.17</v>
          </cell>
        </row>
        <row r="1276">
          <cell r="B1276">
            <v>34837</v>
          </cell>
          <cell r="C1276">
            <v>874.74</v>
          </cell>
        </row>
        <row r="1277">
          <cell r="B1277">
            <v>34838</v>
          </cell>
          <cell r="C1277">
            <v>875.75</v>
          </cell>
        </row>
        <row r="1278">
          <cell r="B1278">
            <v>34839</v>
          </cell>
          <cell r="C1278">
            <v>873.52</v>
          </cell>
        </row>
        <row r="1279">
          <cell r="B1279">
            <v>34840</v>
          </cell>
          <cell r="C1279">
            <v>873.52</v>
          </cell>
        </row>
        <row r="1280">
          <cell r="B1280">
            <v>34841</v>
          </cell>
          <cell r="C1280">
            <v>873.52</v>
          </cell>
        </row>
        <row r="1281">
          <cell r="B1281">
            <v>34842</v>
          </cell>
          <cell r="C1281">
            <v>871.11</v>
          </cell>
        </row>
        <row r="1282">
          <cell r="B1282">
            <v>34843</v>
          </cell>
          <cell r="C1282">
            <v>869.95</v>
          </cell>
        </row>
        <row r="1283">
          <cell r="B1283">
            <v>34844</v>
          </cell>
          <cell r="C1283">
            <v>870.55</v>
          </cell>
        </row>
        <row r="1284">
          <cell r="B1284">
            <v>34845</v>
          </cell>
          <cell r="C1284">
            <v>872.96</v>
          </cell>
        </row>
        <row r="1285">
          <cell r="B1285">
            <v>34846</v>
          </cell>
          <cell r="C1285">
            <v>872.66</v>
          </cell>
        </row>
        <row r="1286">
          <cell r="B1286">
            <v>34847</v>
          </cell>
          <cell r="C1286">
            <v>872.66</v>
          </cell>
        </row>
        <row r="1287">
          <cell r="B1287">
            <v>34848</v>
          </cell>
          <cell r="C1287">
            <v>872.66</v>
          </cell>
        </row>
        <row r="1288">
          <cell r="B1288">
            <v>34849</v>
          </cell>
          <cell r="C1288">
            <v>872.66</v>
          </cell>
        </row>
        <row r="1289">
          <cell r="B1289">
            <v>34850</v>
          </cell>
          <cell r="C1289">
            <v>876.36</v>
          </cell>
        </row>
        <row r="1290">
          <cell r="B1290">
            <v>34851</v>
          </cell>
          <cell r="C1290">
            <v>876.62</v>
          </cell>
        </row>
        <row r="1291">
          <cell r="B1291">
            <v>34852</v>
          </cell>
          <cell r="C1291">
            <v>877.22</v>
          </cell>
        </row>
        <row r="1292">
          <cell r="B1292">
            <v>34853</v>
          </cell>
          <cell r="C1292">
            <v>875.99</v>
          </cell>
        </row>
        <row r="1293">
          <cell r="B1293">
            <v>34854</v>
          </cell>
          <cell r="C1293">
            <v>875.99</v>
          </cell>
        </row>
        <row r="1294">
          <cell r="B1294">
            <v>34855</v>
          </cell>
          <cell r="C1294">
            <v>875.99</v>
          </cell>
        </row>
        <row r="1295">
          <cell r="B1295">
            <v>34856</v>
          </cell>
          <cell r="C1295">
            <v>874.81</v>
          </cell>
        </row>
        <row r="1296">
          <cell r="B1296">
            <v>34857</v>
          </cell>
          <cell r="C1296">
            <v>873.06</v>
          </cell>
        </row>
        <row r="1297">
          <cell r="B1297">
            <v>34858</v>
          </cell>
          <cell r="C1297">
            <v>871.02</v>
          </cell>
        </row>
        <row r="1298">
          <cell r="B1298">
            <v>34859</v>
          </cell>
          <cell r="C1298">
            <v>871.93</v>
          </cell>
        </row>
        <row r="1299">
          <cell r="B1299">
            <v>34860</v>
          </cell>
          <cell r="C1299">
            <v>871.94</v>
          </cell>
        </row>
        <row r="1300">
          <cell r="B1300">
            <v>34861</v>
          </cell>
          <cell r="C1300">
            <v>871.94</v>
          </cell>
        </row>
        <row r="1301">
          <cell r="B1301">
            <v>34862</v>
          </cell>
          <cell r="C1301">
            <v>871.94</v>
          </cell>
        </row>
        <row r="1302">
          <cell r="B1302">
            <v>34863</v>
          </cell>
          <cell r="C1302">
            <v>873.74</v>
          </cell>
        </row>
        <row r="1303">
          <cell r="B1303">
            <v>34864</v>
          </cell>
          <cell r="C1303">
            <v>875.28</v>
          </cell>
        </row>
        <row r="1304">
          <cell r="B1304">
            <v>34865</v>
          </cell>
          <cell r="C1304">
            <v>873.78</v>
          </cell>
        </row>
        <row r="1305">
          <cell r="B1305">
            <v>34866</v>
          </cell>
          <cell r="C1305">
            <v>872.54</v>
          </cell>
        </row>
        <row r="1306">
          <cell r="B1306">
            <v>34867</v>
          </cell>
          <cell r="C1306">
            <v>873.91</v>
          </cell>
        </row>
        <row r="1307">
          <cell r="B1307">
            <v>34868</v>
          </cell>
          <cell r="C1307">
            <v>873.91</v>
          </cell>
        </row>
        <row r="1308">
          <cell r="B1308">
            <v>34869</v>
          </cell>
          <cell r="C1308">
            <v>873.91</v>
          </cell>
        </row>
        <row r="1309">
          <cell r="B1309">
            <v>34870</v>
          </cell>
          <cell r="C1309">
            <v>873.91</v>
          </cell>
        </row>
        <row r="1310">
          <cell r="B1310">
            <v>34871</v>
          </cell>
          <cell r="C1310">
            <v>875.59</v>
          </cell>
        </row>
        <row r="1311">
          <cell r="B1311">
            <v>34872</v>
          </cell>
          <cell r="C1311">
            <v>875.32</v>
          </cell>
        </row>
        <row r="1312">
          <cell r="B1312">
            <v>34873</v>
          </cell>
          <cell r="C1312">
            <v>874.81</v>
          </cell>
        </row>
        <row r="1313">
          <cell r="B1313">
            <v>34874</v>
          </cell>
          <cell r="C1313">
            <v>873.64</v>
          </cell>
        </row>
        <row r="1314">
          <cell r="B1314">
            <v>34875</v>
          </cell>
          <cell r="C1314">
            <v>873.64</v>
          </cell>
        </row>
        <row r="1315">
          <cell r="B1315">
            <v>34876</v>
          </cell>
          <cell r="C1315">
            <v>873.64</v>
          </cell>
        </row>
        <row r="1316">
          <cell r="B1316">
            <v>34877</v>
          </cell>
          <cell r="C1316">
            <v>873.64</v>
          </cell>
        </row>
        <row r="1317">
          <cell r="B1317">
            <v>34878</v>
          </cell>
          <cell r="C1317">
            <v>875.95</v>
          </cell>
        </row>
        <row r="1318">
          <cell r="B1318">
            <v>34879</v>
          </cell>
          <cell r="C1318">
            <v>878.8</v>
          </cell>
        </row>
        <row r="1319">
          <cell r="B1319">
            <v>34880</v>
          </cell>
          <cell r="C1319">
            <v>881.23</v>
          </cell>
        </row>
        <row r="1320">
          <cell r="B1320">
            <v>34881</v>
          </cell>
          <cell r="C1320">
            <v>880.49</v>
          </cell>
        </row>
        <row r="1321">
          <cell r="B1321">
            <v>34882</v>
          </cell>
          <cell r="C1321">
            <v>880.49</v>
          </cell>
        </row>
        <row r="1322">
          <cell r="B1322">
            <v>34883</v>
          </cell>
          <cell r="C1322">
            <v>880.49</v>
          </cell>
        </row>
        <row r="1323">
          <cell r="B1323">
            <v>34884</v>
          </cell>
          <cell r="C1323">
            <v>880.49</v>
          </cell>
        </row>
        <row r="1324">
          <cell r="B1324">
            <v>34885</v>
          </cell>
          <cell r="C1324">
            <v>883.81</v>
          </cell>
        </row>
        <row r="1325">
          <cell r="B1325">
            <v>34886</v>
          </cell>
          <cell r="C1325">
            <v>887.3</v>
          </cell>
        </row>
        <row r="1326">
          <cell r="B1326">
            <v>34887</v>
          </cell>
          <cell r="C1326">
            <v>891.28</v>
          </cell>
        </row>
        <row r="1327">
          <cell r="B1327">
            <v>34888</v>
          </cell>
          <cell r="C1327">
            <v>891.44</v>
          </cell>
        </row>
        <row r="1328">
          <cell r="B1328">
            <v>34889</v>
          </cell>
          <cell r="C1328">
            <v>891.44</v>
          </cell>
        </row>
        <row r="1329">
          <cell r="B1329">
            <v>34890</v>
          </cell>
          <cell r="C1329">
            <v>891.44</v>
          </cell>
        </row>
        <row r="1330">
          <cell r="B1330">
            <v>34891</v>
          </cell>
          <cell r="C1330">
            <v>897.12</v>
          </cell>
        </row>
        <row r="1331">
          <cell r="B1331">
            <v>34892</v>
          </cell>
          <cell r="C1331">
            <v>897.51</v>
          </cell>
        </row>
        <row r="1332">
          <cell r="B1332">
            <v>34893</v>
          </cell>
          <cell r="C1332">
            <v>895.84</v>
          </cell>
        </row>
        <row r="1333">
          <cell r="B1333">
            <v>34894</v>
          </cell>
          <cell r="C1333">
            <v>892.82</v>
          </cell>
        </row>
        <row r="1334">
          <cell r="B1334">
            <v>34895</v>
          </cell>
          <cell r="C1334">
            <v>893.36</v>
          </cell>
        </row>
        <row r="1335">
          <cell r="B1335">
            <v>34896</v>
          </cell>
          <cell r="C1335">
            <v>893.36</v>
          </cell>
        </row>
        <row r="1336">
          <cell r="B1336">
            <v>34897</v>
          </cell>
          <cell r="C1336">
            <v>893.36</v>
          </cell>
        </row>
        <row r="1337">
          <cell r="B1337">
            <v>34898</v>
          </cell>
          <cell r="C1337">
            <v>891.76</v>
          </cell>
        </row>
        <row r="1338">
          <cell r="B1338">
            <v>34899</v>
          </cell>
          <cell r="C1338">
            <v>894.03</v>
          </cell>
        </row>
        <row r="1339">
          <cell r="B1339">
            <v>34900</v>
          </cell>
          <cell r="C1339">
            <v>894.5</v>
          </cell>
        </row>
        <row r="1340">
          <cell r="B1340">
            <v>34901</v>
          </cell>
          <cell r="C1340">
            <v>894.5</v>
          </cell>
        </row>
        <row r="1341">
          <cell r="B1341">
            <v>34902</v>
          </cell>
          <cell r="C1341">
            <v>894.98</v>
          </cell>
        </row>
        <row r="1342">
          <cell r="B1342">
            <v>34903</v>
          </cell>
          <cell r="C1342">
            <v>894.98</v>
          </cell>
        </row>
        <row r="1343">
          <cell r="B1343">
            <v>34904</v>
          </cell>
          <cell r="C1343">
            <v>894.98</v>
          </cell>
        </row>
        <row r="1344">
          <cell r="B1344">
            <v>34905</v>
          </cell>
          <cell r="C1344">
            <v>896.68</v>
          </cell>
        </row>
        <row r="1345">
          <cell r="B1345">
            <v>34906</v>
          </cell>
          <cell r="C1345">
            <v>897.32</v>
          </cell>
        </row>
        <row r="1346">
          <cell r="B1346">
            <v>34907</v>
          </cell>
          <cell r="C1346">
            <v>897.77</v>
          </cell>
        </row>
        <row r="1347">
          <cell r="B1347">
            <v>34908</v>
          </cell>
          <cell r="C1347">
            <v>895.56</v>
          </cell>
        </row>
        <row r="1348">
          <cell r="B1348">
            <v>34909</v>
          </cell>
          <cell r="C1348">
            <v>897.63</v>
          </cell>
        </row>
        <row r="1349">
          <cell r="B1349">
            <v>34910</v>
          </cell>
          <cell r="C1349">
            <v>897.63</v>
          </cell>
        </row>
        <row r="1350">
          <cell r="B1350">
            <v>34911</v>
          </cell>
          <cell r="C1350">
            <v>897.63</v>
          </cell>
        </row>
        <row r="1351">
          <cell r="B1351">
            <v>34912</v>
          </cell>
          <cell r="C1351">
            <v>898.35</v>
          </cell>
        </row>
        <row r="1352">
          <cell r="B1352">
            <v>34913</v>
          </cell>
          <cell r="C1352">
            <v>900.78</v>
          </cell>
        </row>
        <row r="1353">
          <cell r="B1353">
            <v>34914</v>
          </cell>
          <cell r="C1353">
            <v>905.53</v>
          </cell>
        </row>
        <row r="1354">
          <cell r="B1354">
            <v>34915</v>
          </cell>
          <cell r="C1354">
            <v>917.53</v>
          </cell>
        </row>
        <row r="1355">
          <cell r="B1355">
            <v>34916</v>
          </cell>
          <cell r="C1355">
            <v>916.14</v>
          </cell>
        </row>
        <row r="1356">
          <cell r="B1356">
            <v>34917</v>
          </cell>
          <cell r="C1356">
            <v>916.14</v>
          </cell>
        </row>
        <row r="1357">
          <cell r="B1357">
            <v>34918</v>
          </cell>
          <cell r="C1357">
            <v>916.14</v>
          </cell>
        </row>
        <row r="1358">
          <cell r="B1358">
            <v>34919</v>
          </cell>
          <cell r="C1358">
            <v>916.14</v>
          </cell>
        </row>
        <row r="1359">
          <cell r="B1359">
            <v>34920</v>
          </cell>
          <cell r="C1359">
            <v>920.1</v>
          </cell>
        </row>
        <row r="1360">
          <cell r="B1360">
            <v>34921</v>
          </cell>
          <cell r="C1360">
            <v>919.32</v>
          </cell>
        </row>
        <row r="1361">
          <cell r="B1361">
            <v>34922</v>
          </cell>
          <cell r="C1361">
            <v>917.13</v>
          </cell>
        </row>
        <row r="1362">
          <cell r="B1362">
            <v>34923</v>
          </cell>
          <cell r="C1362">
            <v>919.13</v>
          </cell>
        </row>
        <row r="1363">
          <cell r="B1363">
            <v>34924</v>
          </cell>
          <cell r="C1363">
            <v>919.13</v>
          </cell>
        </row>
        <row r="1364">
          <cell r="B1364">
            <v>34925</v>
          </cell>
          <cell r="C1364">
            <v>919.13</v>
          </cell>
        </row>
        <row r="1365">
          <cell r="B1365">
            <v>34926</v>
          </cell>
          <cell r="C1365">
            <v>922.21</v>
          </cell>
        </row>
        <row r="1366">
          <cell r="B1366">
            <v>34927</v>
          </cell>
          <cell r="C1366">
            <v>928.25</v>
          </cell>
        </row>
        <row r="1367">
          <cell r="B1367">
            <v>34928</v>
          </cell>
          <cell r="C1367">
            <v>944.55</v>
          </cell>
        </row>
        <row r="1368">
          <cell r="B1368">
            <v>34929</v>
          </cell>
          <cell r="C1368">
            <v>947.22</v>
          </cell>
        </row>
        <row r="1369">
          <cell r="B1369">
            <v>34930</v>
          </cell>
          <cell r="C1369">
            <v>946.83</v>
          </cell>
        </row>
        <row r="1370">
          <cell r="B1370">
            <v>34931</v>
          </cell>
          <cell r="C1370">
            <v>946.83</v>
          </cell>
        </row>
        <row r="1371">
          <cell r="B1371">
            <v>34932</v>
          </cell>
          <cell r="C1371">
            <v>946.83</v>
          </cell>
        </row>
        <row r="1372">
          <cell r="B1372">
            <v>34933</v>
          </cell>
          <cell r="C1372">
            <v>946.83</v>
          </cell>
        </row>
        <row r="1373">
          <cell r="B1373">
            <v>34934</v>
          </cell>
          <cell r="C1373">
            <v>949.51</v>
          </cell>
        </row>
        <row r="1374">
          <cell r="B1374">
            <v>34935</v>
          </cell>
          <cell r="C1374">
            <v>955.12</v>
          </cell>
        </row>
        <row r="1375">
          <cell r="B1375">
            <v>34936</v>
          </cell>
          <cell r="C1375">
            <v>962.6</v>
          </cell>
        </row>
        <row r="1376">
          <cell r="B1376">
            <v>34937</v>
          </cell>
          <cell r="C1376">
            <v>970.65</v>
          </cell>
        </row>
        <row r="1377">
          <cell r="B1377">
            <v>34938</v>
          </cell>
          <cell r="C1377">
            <v>970.65</v>
          </cell>
        </row>
        <row r="1378">
          <cell r="B1378">
            <v>34939</v>
          </cell>
          <cell r="C1378">
            <v>970.65</v>
          </cell>
        </row>
        <row r="1379">
          <cell r="B1379">
            <v>34940</v>
          </cell>
          <cell r="C1379">
            <v>972.03</v>
          </cell>
        </row>
        <row r="1380">
          <cell r="B1380">
            <v>34941</v>
          </cell>
          <cell r="C1380">
            <v>963.93</v>
          </cell>
        </row>
        <row r="1381">
          <cell r="B1381">
            <v>34942</v>
          </cell>
          <cell r="C1381">
            <v>960.19</v>
          </cell>
        </row>
        <row r="1382">
          <cell r="B1382">
            <v>34943</v>
          </cell>
          <cell r="C1382">
            <v>949.35</v>
          </cell>
        </row>
        <row r="1383">
          <cell r="B1383">
            <v>34944</v>
          </cell>
          <cell r="C1383">
            <v>948.23</v>
          </cell>
        </row>
        <row r="1384">
          <cell r="B1384">
            <v>34945</v>
          </cell>
          <cell r="C1384">
            <v>948.23</v>
          </cell>
        </row>
        <row r="1385">
          <cell r="B1385">
            <v>34946</v>
          </cell>
          <cell r="C1385">
            <v>948.23</v>
          </cell>
        </row>
        <row r="1386">
          <cell r="B1386">
            <v>34947</v>
          </cell>
          <cell r="C1386">
            <v>957.54</v>
          </cell>
        </row>
        <row r="1387">
          <cell r="B1387">
            <v>34948</v>
          </cell>
          <cell r="C1387">
            <v>958.46</v>
          </cell>
        </row>
        <row r="1388">
          <cell r="B1388">
            <v>34949</v>
          </cell>
          <cell r="C1388">
            <v>953.63</v>
          </cell>
        </row>
        <row r="1389">
          <cell r="B1389">
            <v>34950</v>
          </cell>
          <cell r="C1389">
            <v>954.64</v>
          </cell>
        </row>
        <row r="1390">
          <cell r="B1390">
            <v>34951</v>
          </cell>
          <cell r="C1390">
            <v>958.31</v>
          </cell>
        </row>
        <row r="1391">
          <cell r="B1391">
            <v>34952</v>
          </cell>
          <cell r="C1391">
            <v>958.31</v>
          </cell>
        </row>
        <row r="1392">
          <cell r="B1392">
            <v>34953</v>
          </cell>
          <cell r="C1392">
            <v>958.31</v>
          </cell>
        </row>
        <row r="1393">
          <cell r="B1393">
            <v>34954</v>
          </cell>
          <cell r="C1393">
            <v>958.59</v>
          </cell>
        </row>
        <row r="1394">
          <cell r="B1394">
            <v>34955</v>
          </cell>
          <cell r="C1394">
            <v>959.18</v>
          </cell>
        </row>
        <row r="1395">
          <cell r="B1395">
            <v>34956</v>
          </cell>
          <cell r="C1395">
            <v>959.15</v>
          </cell>
        </row>
        <row r="1396">
          <cell r="B1396">
            <v>34957</v>
          </cell>
          <cell r="C1396">
            <v>960.25</v>
          </cell>
        </row>
        <row r="1397">
          <cell r="B1397">
            <v>34958</v>
          </cell>
          <cell r="C1397">
            <v>960.91</v>
          </cell>
        </row>
        <row r="1398">
          <cell r="B1398">
            <v>34959</v>
          </cell>
          <cell r="C1398">
            <v>960.91</v>
          </cell>
        </row>
        <row r="1399">
          <cell r="B1399">
            <v>34960</v>
          </cell>
          <cell r="C1399">
            <v>960.91</v>
          </cell>
        </row>
        <row r="1400">
          <cell r="B1400">
            <v>34961</v>
          </cell>
          <cell r="C1400">
            <v>962.5</v>
          </cell>
        </row>
        <row r="1401">
          <cell r="B1401">
            <v>34962</v>
          </cell>
          <cell r="C1401">
            <v>970.08</v>
          </cell>
        </row>
        <row r="1402">
          <cell r="B1402">
            <v>34963</v>
          </cell>
          <cell r="C1402">
            <v>974.88</v>
          </cell>
        </row>
        <row r="1403">
          <cell r="B1403">
            <v>34964</v>
          </cell>
          <cell r="C1403">
            <v>974.23</v>
          </cell>
        </row>
        <row r="1404">
          <cell r="B1404">
            <v>34965</v>
          </cell>
          <cell r="C1404">
            <v>975.9</v>
          </cell>
        </row>
        <row r="1405">
          <cell r="B1405">
            <v>34966</v>
          </cell>
          <cell r="C1405">
            <v>975.9</v>
          </cell>
        </row>
        <row r="1406">
          <cell r="B1406">
            <v>34967</v>
          </cell>
          <cell r="C1406">
            <v>975.9</v>
          </cell>
        </row>
        <row r="1407">
          <cell r="B1407">
            <v>34968</v>
          </cell>
          <cell r="C1407">
            <v>977.35</v>
          </cell>
        </row>
        <row r="1408">
          <cell r="B1408">
            <v>34969</v>
          </cell>
          <cell r="C1408">
            <v>980.54</v>
          </cell>
        </row>
        <row r="1409">
          <cell r="B1409">
            <v>34970</v>
          </cell>
          <cell r="C1409">
            <v>981.09</v>
          </cell>
        </row>
        <row r="1410">
          <cell r="B1410">
            <v>34971</v>
          </cell>
          <cell r="C1410">
            <v>972.8</v>
          </cell>
        </row>
        <row r="1411">
          <cell r="B1411">
            <v>34972</v>
          </cell>
          <cell r="C1411">
            <v>966.78</v>
          </cell>
        </row>
        <row r="1412">
          <cell r="B1412">
            <v>34973</v>
          </cell>
          <cell r="C1412">
            <v>966.78</v>
          </cell>
        </row>
        <row r="1413">
          <cell r="B1413">
            <v>34974</v>
          </cell>
          <cell r="C1413">
            <v>966.78</v>
          </cell>
        </row>
        <row r="1414">
          <cell r="B1414">
            <v>34975</v>
          </cell>
          <cell r="C1414">
            <v>971.22</v>
          </cell>
        </row>
        <row r="1415">
          <cell r="B1415">
            <v>34976</v>
          </cell>
          <cell r="C1415">
            <v>976.76</v>
          </cell>
        </row>
        <row r="1416">
          <cell r="B1416">
            <v>34977</v>
          </cell>
          <cell r="C1416">
            <v>972.75</v>
          </cell>
        </row>
        <row r="1417">
          <cell r="B1417">
            <v>34978</v>
          </cell>
          <cell r="C1417">
            <v>972.93</v>
          </cell>
        </row>
        <row r="1418">
          <cell r="B1418">
            <v>34979</v>
          </cell>
          <cell r="C1418">
            <v>979.16</v>
          </cell>
        </row>
        <row r="1419">
          <cell r="B1419">
            <v>34980</v>
          </cell>
          <cell r="C1419">
            <v>979.16</v>
          </cell>
        </row>
        <row r="1420">
          <cell r="B1420">
            <v>34981</v>
          </cell>
          <cell r="C1420">
            <v>979.16</v>
          </cell>
        </row>
        <row r="1421">
          <cell r="B1421">
            <v>34982</v>
          </cell>
          <cell r="C1421">
            <v>982.84</v>
          </cell>
        </row>
        <row r="1422">
          <cell r="B1422">
            <v>34983</v>
          </cell>
          <cell r="C1422">
            <v>981.45</v>
          </cell>
        </row>
        <row r="1423">
          <cell r="B1423">
            <v>34984</v>
          </cell>
          <cell r="C1423">
            <v>981.26</v>
          </cell>
        </row>
        <row r="1424">
          <cell r="B1424">
            <v>34985</v>
          </cell>
          <cell r="C1424">
            <v>984.88</v>
          </cell>
        </row>
        <row r="1425">
          <cell r="B1425">
            <v>34986</v>
          </cell>
          <cell r="C1425">
            <v>987</v>
          </cell>
        </row>
        <row r="1426">
          <cell r="B1426">
            <v>34987</v>
          </cell>
          <cell r="C1426">
            <v>987</v>
          </cell>
        </row>
        <row r="1427">
          <cell r="B1427">
            <v>34988</v>
          </cell>
          <cell r="C1427">
            <v>987</v>
          </cell>
        </row>
        <row r="1428">
          <cell r="B1428">
            <v>34989</v>
          </cell>
          <cell r="C1428">
            <v>987</v>
          </cell>
        </row>
        <row r="1429">
          <cell r="B1429">
            <v>34990</v>
          </cell>
          <cell r="C1429">
            <v>990.52</v>
          </cell>
        </row>
        <row r="1430">
          <cell r="B1430">
            <v>34991</v>
          </cell>
          <cell r="C1430">
            <v>991.22</v>
          </cell>
        </row>
        <row r="1431">
          <cell r="B1431">
            <v>34992</v>
          </cell>
          <cell r="C1431">
            <v>991.52</v>
          </cell>
        </row>
        <row r="1432">
          <cell r="B1432">
            <v>34993</v>
          </cell>
          <cell r="C1432">
            <v>988.96</v>
          </cell>
        </row>
        <row r="1433">
          <cell r="B1433">
            <v>34994</v>
          </cell>
          <cell r="C1433">
            <v>988.96</v>
          </cell>
        </row>
        <row r="1434">
          <cell r="B1434">
            <v>34995</v>
          </cell>
          <cell r="C1434">
            <v>988.96</v>
          </cell>
        </row>
        <row r="1435">
          <cell r="B1435">
            <v>34996</v>
          </cell>
          <cell r="C1435">
            <v>991.98</v>
          </cell>
        </row>
        <row r="1436">
          <cell r="B1436">
            <v>34997</v>
          </cell>
          <cell r="C1436">
            <v>993.68</v>
          </cell>
        </row>
        <row r="1437">
          <cell r="B1437">
            <v>34998</v>
          </cell>
          <cell r="C1437">
            <v>994.77</v>
          </cell>
        </row>
        <row r="1438">
          <cell r="B1438">
            <v>34999</v>
          </cell>
          <cell r="C1438">
            <v>995.01</v>
          </cell>
        </row>
        <row r="1439">
          <cell r="B1439">
            <v>35000</v>
          </cell>
          <cell r="C1439">
            <v>994.99</v>
          </cell>
        </row>
        <row r="1440">
          <cell r="B1440">
            <v>35001</v>
          </cell>
          <cell r="C1440">
            <v>994.99</v>
          </cell>
        </row>
        <row r="1441">
          <cell r="B1441">
            <v>35002</v>
          </cell>
          <cell r="C1441">
            <v>994.99</v>
          </cell>
        </row>
        <row r="1442">
          <cell r="B1442">
            <v>35003</v>
          </cell>
          <cell r="C1442">
            <v>994.5</v>
          </cell>
        </row>
        <row r="1443">
          <cell r="B1443">
            <v>35004</v>
          </cell>
          <cell r="C1443">
            <v>996.76</v>
          </cell>
        </row>
        <row r="1444">
          <cell r="B1444">
            <v>35005</v>
          </cell>
          <cell r="C1444">
            <v>996.96</v>
          </cell>
        </row>
        <row r="1445">
          <cell r="B1445">
            <v>35006</v>
          </cell>
          <cell r="C1445">
            <v>998.18</v>
          </cell>
        </row>
        <row r="1446">
          <cell r="B1446">
            <v>35007</v>
          </cell>
          <cell r="C1446">
            <v>998.49</v>
          </cell>
        </row>
        <row r="1447">
          <cell r="B1447">
            <v>35008</v>
          </cell>
          <cell r="C1447">
            <v>998.49</v>
          </cell>
        </row>
        <row r="1448">
          <cell r="B1448">
            <v>35009</v>
          </cell>
          <cell r="C1448">
            <v>998.49</v>
          </cell>
        </row>
        <row r="1449">
          <cell r="B1449">
            <v>35010</v>
          </cell>
          <cell r="C1449">
            <v>998.49</v>
          </cell>
        </row>
        <row r="1450">
          <cell r="B1450">
            <v>35011</v>
          </cell>
          <cell r="C1450">
            <v>999.51</v>
          </cell>
        </row>
        <row r="1451">
          <cell r="B1451">
            <v>35012</v>
          </cell>
          <cell r="C1451">
            <v>999.73</v>
          </cell>
        </row>
        <row r="1452">
          <cell r="B1452">
            <v>35013</v>
          </cell>
          <cell r="C1452">
            <v>1000.13</v>
          </cell>
        </row>
        <row r="1453">
          <cell r="B1453">
            <v>35014</v>
          </cell>
          <cell r="C1453">
            <v>999.77</v>
          </cell>
        </row>
        <row r="1454">
          <cell r="B1454">
            <v>35015</v>
          </cell>
          <cell r="C1454">
            <v>999.77</v>
          </cell>
        </row>
        <row r="1455">
          <cell r="B1455">
            <v>35016</v>
          </cell>
          <cell r="C1455">
            <v>999.77</v>
          </cell>
        </row>
        <row r="1456">
          <cell r="B1456">
            <v>35017</v>
          </cell>
          <cell r="C1456">
            <v>999.77</v>
          </cell>
        </row>
        <row r="1457">
          <cell r="B1457">
            <v>35018</v>
          </cell>
          <cell r="C1457">
            <v>1001.14</v>
          </cell>
        </row>
        <row r="1458">
          <cell r="B1458">
            <v>35019</v>
          </cell>
          <cell r="C1458">
            <v>1001.62</v>
          </cell>
        </row>
        <row r="1459">
          <cell r="B1459">
            <v>35020</v>
          </cell>
          <cell r="C1459">
            <v>1002.25</v>
          </cell>
        </row>
        <row r="1460">
          <cell r="B1460">
            <v>35021</v>
          </cell>
          <cell r="C1460">
            <v>1002.63</v>
          </cell>
        </row>
        <row r="1461">
          <cell r="B1461">
            <v>35022</v>
          </cell>
          <cell r="C1461">
            <v>1002.63</v>
          </cell>
        </row>
        <row r="1462">
          <cell r="B1462">
            <v>35023</v>
          </cell>
          <cell r="C1462">
            <v>1002.63</v>
          </cell>
        </row>
        <row r="1463">
          <cell r="B1463">
            <v>35024</v>
          </cell>
          <cell r="C1463">
            <v>1003.44</v>
          </cell>
        </row>
        <row r="1464">
          <cell r="B1464">
            <v>35025</v>
          </cell>
          <cell r="C1464">
            <v>1003.47</v>
          </cell>
        </row>
        <row r="1465">
          <cell r="B1465">
            <v>35026</v>
          </cell>
          <cell r="C1465">
            <v>1002.49</v>
          </cell>
        </row>
        <row r="1466">
          <cell r="B1466">
            <v>35027</v>
          </cell>
          <cell r="C1466">
            <v>1001.23</v>
          </cell>
        </row>
        <row r="1467">
          <cell r="B1467">
            <v>35028</v>
          </cell>
          <cell r="C1467">
            <v>1000.69</v>
          </cell>
        </row>
        <row r="1468">
          <cell r="B1468">
            <v>35029</v>
          </cell>
          <cell r="C1468">
            <v>1000.69</v>
          </cell>
        </row>
        <row r="1469">
          <cell r="B1469">
            <v>35030</v>
          </cell>
          <cell r="C1469">
            <v>1000.69</v>
          </cell>
        </row>
        <row r="1470">
          <cell r="B1470">
            <v>35031</v>
          </cell>
          <cell r="C1470">
            <v>1003.24</v>
          </cell>
        </row>
        <row r="1471">
          <cell r="B1471">
            <v>35032</v>
          </cell>
          <cell r="C1471">
            <v>1001.73</v>
          </cell>
        </row>
        <row r="1472">
          <cell r="B1472">
            <v>35033</v>
          </cell>
          <cell r="C1472">
            <v>998.16</v>
          </cell>
        </row>
        <row r="1473">
          <cell r="B1473">
            <v>35034</v>
          </cell>
          <cell r="C1473">
            <v>998.15</v>
          </cell>
        </row>
        <row r="1474">
          <cell r="B1474">
            <v>35035</v>
          </cell>
          <cell r="C1474">
            <v>997.87</v>
          </cell>
        </row>
        <row r="1475">
          <cell r="B1475">
            <v>35036</v>
          </cell>
          <cell r="C1475">
            <v>997.87</v>
          </cell>
        </row>
        <row r="1476">
          <cell r="B1476">
            <v>35037</v>
          </cell>
          <cell r="C1476">
            <v>997.87</v>
          </cell>
        </row>
        <row r="1477">
          <cell r="B1477">
            <v>35038</v>
          </cell>
          <cell r="C1477">
            <v>995.93</v>
          </cell>
        </row>
        <row r="1478">
          <cell r="B1478">
            <v>35039</v>
          </cell>
          <cell r="C1478">
            <v>990.16</v>
          </cell>
        </row>
        <row r="1479">
          <cell r="B1479">
            <v>35040</v>
          </cell>
          <cell r="C1479">
            <v>983.29</v>
          </cell>
        </row>
        <row r="1480">
          <cell r="B1480">
            <v>35041</v>
          </cell>
          <cell r="C1480">
            <v>974.04</v>
          </cell>
        </row>
        <row r="1481">
          <cell r="B1481">
            <v>35042</v>
          </cell>
          <cell r="C1481">
            <v>974.04</v>
          </cell>
        </row>
        <row r="1482">
          <cell r="B1482">
            <v>35043</v>
          </cell>
          <cell r="C1482">
            <v>974.04</v>
          </cell>
        </row>
        <row r="1483">
          <cell r="B1483">
            <v>35044</v>
          </cell>
          <cell r="C1483">
            <v>974.04</v>
          </cell>
        </row>
        <row r="1484">
          <cell r="B1484">
            <v>35045</v>
          </cell>
          <cell r="C1484">
            <v>979.87</v>
          </cell>
        </row>
        <row r="1485">
          <cell r="B1485">
            <v>35046</v>
          </cell>
          <cell r="C1485">
            <v>986.17</v>
          </cell>
        </row>
        <row r="1486">
          <cell r="B1486">
            <v>35047</v>
          </cell>
          <cell r="C1486">
            <v>994.57</v>
          </cell>
        </row>
        <row r="1487">
          <cell r="B1487">
            <v>35048</v>
          </cell>
          <cell r="C1487">
            <v>992.88</v>
          </cell>
        </row>
        <row r="1488">
          <cell r="B1488">
            <v>35049</v>
          </cell>
          <cell r="C1488">
            <v>988.94</v>
          </cell>
        </row>
        <row r="1489">
          <cell r="B1489">
            <v>35050</v>
          </cell>
          <cell r="C1489">
            <v>988.94</v>
          </cell>
        </row>
        <row r="1490">
          <cell r="B1490">
            <v>35051</v>
          </cell>
          <cell r="C1490">
            <v>988.94</v>
          </cell>
        </row>
        <row r="1491">
          <cell r="B1491">
            <v>35052</v>
          </cell>
          <cell r="C1491">
            <v>986.71</v>
          </cell>
        </row>
        <row r="1492">
          <cell r="B1492">
            <v>35053</v>
          </cell>
          <cell r="C1492">
            <v>987.22</v>
          </cell>
        </row>
        <row r="1493">
          <cell r="B1493">
            <v>35054</v>
          </cell>
          <cell r="C1493">
            <v>985.39</v>
          </cell>
        </row>
        <row r="1494">
          <cell r="B1494">
            <v>35055</v>
          </cell>
          <cell r="C1494">
            <v>984.06</v>
          </cell>
        </row>
        <row r="1495">
          <cell r="B1495">
            <v>35056</v>
          </cell>
          <cell r="C1495">
            <v>984.96</v>
          </cell>
        </row>
        <row r="1496">
          <cell r="B1496">
            <v>35057</v>
          </cell>
          <cell r="C1496">
            <v>984.96</v>
          </cell>
        </row>
        <row r="1497">
          <cell r="B1497">
            <v>35058</v>
          </cell>
          <cell r="C1497">
            <v>984.96</v>
          </cell>
        </row>
        <row r="1498">
          <cell r="B1498">
            <v>35059</v>
          </cell>
          <cell r="C1498">
            <v>984.96</v>
          </cell>
        </row>
        <row r="1499">
          <cell r="B1499">
            <v>35060</v>
          </cell>
          <cell r="C1499">
            <v>990.1</v>
          </cell>
        </row>
        <row r="1500">
          <cell r="B1500">
            <v>35061</v>
          </cell>
          <cell r="C1500">
            <v>986.96</v>
          </cell>
        </row>
        <row r="1501">
          <cell r="B1501">
            <v>35062</v>
          </cell>
          <cell r="C1501">
            <v>987.65</v>
          </cell>
        </row>
        <row r="1502">
          <cell r="B1502">
            <v>35063</v>
          </cell>
          <cell r="C1502">
            <v>987.65</v>
          </cell>
        </row>
        <row r="1503">
          <cell r="B1503">
            <v>35064</v>
          </cell>
          <cell r="C1503">
            <v>987.65</v>
          </cell>
        </row>
        <row r="1504">
          <cell r="B1504">
            <v>35065</v>
          </cell>
          <cell r="C1504">
            <v>987.65</v>
          </cell>
        </row>
        <row r="1505">
          <cell r="B1505">
            <v>35066</v>
          </cell>
          <cell r="C1505">
            <v>987.65</v>
          </cell>
        </row>
        <row r="1506">
          <cell r="B1506">
            <v>35067</v>
          </cell>
          <cell r="C1506">
            <v>994.31</v>
          </cell>
        </row>
        <row r="1507">
          <cell r="B1507">
            <v>35068</v>
          </cell>
          <cell r="C1507">
            <v>994.5</v>
          </cell>
        </row>
        <row r="1508">
          <cell r="B1508">
            <v>35069</v>
          </cell>
          <cell r="C1508">
            <v>998.68</v>
          </cell>
        </row>
        <row r="1509">
          <cell r="B1509">
            <v>35070</v>
          </cell>
          <cell r="C1509">
            <v>997.06</v>
          </cell>
        </row>
        <row r="1510">
          <cell r="B1510">
            <v>35071</v>
          </cell>
          <cell r="C1510">
            <v>997.06</v>
          </cell>
        </row>
        <row r="1511">
          <cell r="B1511">
            <v>35072</v>
          </cell>
          <cell r="C1511">
            <v>997.06</v>
          </cell>
        </row>
        <row r="1512">
          <cell r="B1512">
            <v>35073</v>
          </cell>
          <cell r="C1512">
            <v>997.06</v>
          </cell>
        </row>
        <row r="1513">
          <cell r="B1513">
            <v>35074</v>
          </cell>
          <cell r="C1513">
            <v>1003.44</v>
          </cell>
        </row>
        <row r="1514">
          <cell r="B1514">
            <v>35075</v>
          </cell>
          <cell r="C1514">
            <v>1003.86</v>
          </cell>
        </row>
        <row r="1515">
          <cell r="B1515">
            <v>35076</v>
          </cell>
          <cell r="C1515">
            <v>1002.59</v>
          </cell>
        </row>
        <row r="1516">
          <cell r="B1516">
            <v>35077</v>
          </cell>
          <cell r="C1516">
            <v>1005.63</v>
          </cell>
        </row>
        <row r="1517">
          <cell r="B1517">
            <v>35078</v>
          </cell>
          <cell r="C1517">
            <v>1005.63</v>
          </cell>
        </row>
        <row r="1518">
          <cell r="B1518">
            <v>35079</v>
          </cell>
          <cell r="C1518">
            <v>1005.63</v>
          </cell>
        </row>
        <row r="1519">
          <cell r="B1519">
            <v>35080</v>
          </cell>
          <cell r="C1519">
            <v>1011.59</v>
          </cell>
        </row>
        <row r="1520">
          <cell r="B1520">
            <v>35081</v>
          </cell>
          <cell r="C1520">
            <v>1011.72</v>
          </cell>
        </row>
        <row r="1521">
          <cell r="B1521">
            <v>35082</v>
          </cell>
          <cell r="C1521">
            <v>1010.34</v>
          </cell>
        </row>
        <row r="1522">
          <cell r="B1522">
            <v>35083</v>
          </cell>
          <cell r="C1522">
            <v>1015.1</v>
          </cell>
        </row>
        <row r="1523">
          <cell r="B1523">
            <v>35084</v>
          </cell>
          <cell r="C1523">
            <v>1018.99</v>
          </cell>
        </row>
        <row r="1524">
          <cell r="B1524">
            <v>35085</v>
          </cell>
          <cell r="C1524">
            <v>1018.99</v>
          </cell>
        </row>
        <row r="1525">
          <cell r="B1525">
            <v>35086</v>
          </cell>
          <cell r="C1525">
            <v>1018.99</v>
          </cell>
        </row>
        <row r="1526">
          <cell r="B1526">
            <v>35087</v>
          </cell>
          <cell r="C1526">
            <v>1019.17</v>
          </cell>
        </row>
        <row r="1527">
          <cell r="B1527">
            <v>35088</v>
          </cell>
          <cell r="C1527">
            <v>1024.8900000000001</v>
          </cell>
        </row>
        <row r="1528">
          <cell r="B1528">
            <v>35089</v>
          </cell>
          <cell r="C1528">
            <v>1026.08</v>
          </cell>
        </row>
        <row r="1529">
          <cell r="B1529">
            <v>35090</v>
          </cell>
          <cell r="C1529">
            <v>1026.78</v>
          </cell>
        </row>
        <row r="1530">
          <cell r="B1530">
            <v>35091</v>
          </cell>
          <cell r="C1530">
            <v>1026.8900000000001</v>
          </cell>
        </row>
        <row r="1531">
          <cell r="B1531">
            <v>35092</v>
          </cell>
          <cell r="C1531">
            <v>1026.8900000000001</v>
          </cell>
        </row>
        <row r="1532">
          <cell r="B1532">
            <v>35093</v>
          </cell>
          <cell r="C1532">
            <v>1026.8900000000001</v>
          </cell>
        </row>
        <row r="1533">
          <cell r="B1533">
            <v>35094</v>
          </cell>
          <cell r="C1533">
            <v>1027.6099999999999</v>
          </cell>
        </row>
        <row r="1534">
          <cell r="B1534">
            <v>35095</v>
          </cell>
          <cell r="C1534">
            <v>1028.1400000000001</v>
          </cell>
        </row>
        <row r="1535">
          <cell r="B1535">
            <v>35096</v>
          </cell>
          <cell r="C1535">
            <v>1026.3</v>
          </cell>
        </row>
        <row r="1536">
          <cell r="B1536">
            <v>35097</v>
          </cell>
          <cell r="C1536">
            <v>1024.8900000000001</v>
          </cell>
        </row>
        <row r="1537">
          <cell r="B1537">
            <v>35098</v>
          </cell>
          <cell r="C1537">
            <v>1021.29</v>
          </cell>
        </row>
        <row r="1538">
          <cell r="B1538">
            <v>35099</v>
          </cell>
          <cell r="C1538">
            <v>1021.29</v>
          </cell>
        </row>
        <row r="1539">
          <cell r="B1539">
            <v>35100</v>
          </cell>
          <cell r="C1539">
            <v>1021.29</v>
          </cell>
        </row>
        <row r="1540">
          <cell r="B1540">
            <v>35101</v>
          </cell>
          <cell r="C1540">
            <v>1022.93</v>
          </cell>
        </row>
        <row r="1541">
          <cell r="B1541">
            <v>35102</v>
          </cell>
          <cell r="C1541">
            <v>1021.3</v>
          </cell>
        </row>
        <row r="1542">
          <cell r="B1542">
            <v>35103</v>
          </cell>
          <cell r="C1542">
            <v>1022.28</v>
          </cell>
        </row>
        <row r="1543">
          <cell r="B1543">
            <v>35104</v>
          </cell>
          <cell r="C1543">
            <v>1024.17</v>
          </cell>
        </row>
        <row r="1544">
          <cell r="B1544">
            <v>35105</v>
          </cell>
          <cell r="C1544">
            <v>1023.07</v>
          </cell>
        </row>
        <row r="1545">
          <cell r="B1545">
            <v>35106</v>
          </cell>
          <cell r="C1545">
            <v>1023.07</v>
          </cell>
        </row>
        <row r="1546">
          <cell r="B1546">
            <v>35107</v>
          </cell>
          <cell r="C1546">
            <v>1023.07</v>
          </cell>
        </row>
        <row r="1547">
          <cell r="B1547">
            <v>35108</v>
          </cell>
          <cell r="C1547">
            <v>1027.54</v>
          </cell>
        </row>
        <row r="1548">
          <cell r="B1548">
            <v>35109</v>
          </cell>
          <cell r="C1548">
            <v>1028.58</v>
          </cell>
        </row>
        <row r="1549">
          <cell r="B1549">
            <v>35110</v>
          </cell>
          <cell r="C1549">
            <v>1027.57</v>
          </cell>
        </row>
        <row r="1550">
          <cell r="B1550">
            <v>35111</v>
          </cell>
          <cell r="C1550">
            <v>1030.67</v>
          </cell>
        </row>
        <row r="1551">
          <cell r="B1551">
            <v>35112</v>
          </cell>
          <cell r="C1551">
            <v>1029.5</v>
          </cell>
        </row>
        <row r="1552">
          <cell r="B1552">
            <v>35113</v>
          </cell>
          <cell r="C1552">
            <v>1029.5</v>
          </cell>
        </row>
        <row r="1553">
          <cell r="B1553">
            <v>35114</v>
          </cell>
          <cell r="C1553">
            <v>1029.5</v>
          </cell>
        </row>
        <row r="1554">
          <cell r="B1554">
            <v>35115</v>
          </cell>
          <cell r="C1554">
            <v>1033.4100000000001</v>
          </cell>
        </row>
        <row r="1555">
          <cell r="B1555">
            <v>35116</v>
          </cell>
          <cell r="C1555">
            <v>1034.3399999999999</v>
          </cell>
        </row>
        <row r="1556">
          <cell r="B1556">
            <v>35117</v>
          </cell>
          <cell r="C1556">
            <v>1035.43</v>
          </cell>
        </row>
        <row r="1557">
          <cell r="B1557">
            <v>35118</v>
          </cell>
          <cell r="C1557">
            <v>1035.04</v>
          </cell>
        </row>
        <row r="1558">
          <cell r="B1558">
            <v>35119</v>
          </cell>
          <cell r="C1558">
            <v>1036.71</v>
          </cell>
        </row>
        <row r="1559">
          <cell r="B1559">
            <v>35120</v>
          </cell>
          <cell r="C1559">
            <v>1036.71</v>
          </cell>
        </row>
        <row r="1560">
          <cell r="B1560">
            <v>35121</v>
          </cell>
          <cell r="C1560">
            <v>1036.71</v>
          </cell>
        </row>
        <row r="1561">
          <cell r="B1561">
            <v>35122</v>
          </cell>
          <cell r="C1561">
            <v>1038.49</v>
          </cell>
        </row>
        <row r="1562">
          <cell r="B1562">
            <v>35123</v>
          </cell>
          <cell r="C1562">
            <v>1039.06</v>
          </cell>
        </row>
        <row r="1563">
          <cell r="B1563">
            <v>35124</v>
          </cell>
          <cell r="C1563">
            <v>1039.81</v>
          </cell>
        </row>
        <row r="1564">
          <cell r="B1564">
            <v>35125</v>
          </cell>
          <cell r="C1564">
            <v>1039.9000000000001</v>
          </cell>
        </row>
        <row r="1565">
          <cell r="B1565">
            <v>35126</v>
          </cell>
          <cell r="C1565">
            <v>1040.7</v>
          </cell>
        </row>
        <row r="1566">
          <cell r="B1566">
            <v>35127</v>
          </cell>
          <cell r="C1566">
            <v>1040.7</v>
          </cell>
        </row>
        <row r="1567">
          <cell r="B1567">
            <v>35128</v>
          </cell>
          <cell r="C1567">
            <v>1040.7</v>
          </cell>
        </row>
        <row r="1568">
          <cell r="B1568">
            <v>35129</v>
          </cell>
          <cell r="C1568">
            <v>1041.28</v>
          </cell>
        </row>
        <row r="1569">
          <cell r="B1569">
            <v>35130</v>
          </cell>
          <cell r="C1569">
            <v>1041.83</v>
          </cell>
        </row>
        <row r="1570">
          <cell r="B1570">
            <v>35131</v>
          </cell>
          <cell r="C1570">
            <v>1042.03</v>
          </cell>
        </row>
        <row r="1571">
          <cell r="B1571">
            <v>35132</v>
          </cell>
          <cell r="C1571">
            <v>1042.6099999999999</v>
          </cell>
        </row>
        <row r="1572">
          <cell r="B1572">
            <v>35133</v>
          </cell>
          <cell r="C1572">
            <v>1042.42</v>
          </cell>
        </row>
        <row r="1573">
          <cell r="B1573">
            <v>35134</v>
          </cell>
          <cell r="C1573">
            <v>1042.42</v>
          </cell>
        </row>
        <row r="1574">
          <cell r="B1574">
            <v>35135</v>
          </cell>
          <cell r="C1574">
            <v>1042.42</v>
          </cell>
        </row>
        <row r="1575">
          <cell r="B1575">
            <v>35136</v>
          </cell>
          <cell r="C1575">
            <v>1043.5</v>
          </cell>
        </row>
        <row r="1576">
          <cell r="B1576">
            <v>35137</v>
          </cell>
          <cell r="C1576">
            <v>1044.07</v>
          </cell>
        </row>
        <row r="1577">
          <cell r="B1577">
            <v>35138</v>
          </cell>
          <cell r="C1577">
            <v>1044.99</v>
          </cell>
        </row>
        <row r="1578">
          <cell r="B1578">
            <v>35139</v>
          </cell>
          <cell r="C1578">
            <v>1045.44</v>
          </cell>
        </row>
        <row r="1579">
          <cell r="B1579">
            <v>35140</v>
          </cell>
          <cell r="C1579">
            <v>1046.0899999999999</v>
          </cell>
        </row>
        <row r="1580">
          <cell r="B1580">
            <v>35141</v>
          </cell>
          <cell r="C1580">
            <v>1046.0899999999999</v>
          </cell>
        </row>
        <row r="1581">
          <cell r="B1581">
            <v>35142</v>
          </cell>
          <cell r="C1581">
            <v>1046.0899999999999</v>
          </cell>
        </row>
        <row r="1582">
          <cell r="B1582">
            <v>35143</v>
          </cell>
          <cell r="C1582">
            <v>1046.76</v>
          </cell>
        </row>
        <row r="1583">
          <cell r="B1583">
            <v>35144</v>
          </cell>
          <cell r="C1583">
            <v>1047.24</v>
          </cell>
        </row>
        <row r="1584">
          <cell r="B1584">
            <v>35145</v>
          </cell>
          <cell r="C1584">
            <v>1047.6500000000001</v>
          </cell>
        </row>
        <row r="1585">
          <cell r="B1585">
            <v>35146</v>
          </cell>
          <cell r="C1585">
            <v>1048.4000000000001</v>
          </cell>
        </row>
        <row r="1586">
          <cell r="B1586">
            <v>35147</v>
          </cell>
          <cell r="C1586">
            <v>1048</v>
          </cell>
        </row>
        <row r="1587">
          <cell r="B1587">
            <v>35148</v>
          </cell>
          <cell r="C1587">
            <v>1048</v>
          </cell>
        </row>
        <row r="1588">
          <cell r="B1588">
            <v>35149</v>
          </cell>
          <cell r="C1588">
            <v>1048</v>
          </cell>
        </row>
        <row r="1589">
          <cell r="B1589">
            <v>35150</v>
          </cell>
          <cell r="C1589">
            <v>1048</v>
          </cell>
        </row>
        <row r="1590">
          <cell r="B1590">
            <v>35151</v>
          </cell>
          <cell r="C1590">
            <v>1049.08</v>
          </cell>
        </row>
        <row r="1591">
          <cell r="B1591">
            <v>35152</v>
          </cell>
          <cell r="C1591">
            <v>1049.22</v>
          </cell>
        </row>
        <row r="1592">
          <cell r="B1592">
            <v>35153</v>
          </cell>
          <cell r="C1592">
            <v>1048.42</v>
          </cell>
        </row>
        <row r="1593">
          <cell r="B1593">
            <v>35154</v>
          </cell>
          <cell r="C1593">
            <v>1046</v>
          </cell>
        </row>
        <row r="1594">
          <cell r="B1594">
            <v>35155</v>
          </cell>
          <cell r="C1594">
            <v>1046</v>
          </cell>
        </row>
        <row r="1595">
          <cell r="B1595">
            <v>35156</v>
          </cell>
          <cell r="C1595">
            <v>1046</v>
          </cell>
        </row>
        <row r="1596">
          <cell r="B1596">
            <v>35157</v>
          </cell>
          <cell r="C1596">
            <v>1042.2</v>
          </cell>
        </row>
        <row r="1597">
          <cell r="B1597">
            <v>35158</v>
          </cell>
          <cell r="C1597">
            <v>1045.23</v>
          </cell>
        </row>
        <row r="1598">
          <cell r="B1598">
            <v>35159</v>
          </cell>
          <cell r="C1598">
            <v>1046.92</v>
          </cell>
        </row>
        <row r="1599">
          <cell r="B1599">
            <v>35160</v>
          </cell>
          <cell r="C1599">
            <v>1046.92</v>
          </cell>
        </row>
        <row r="1600">
          <cell r="B1600">
            <v>35161</v>
          </cell>
          <cell r="C1600">
            <v>1046.92</v>
          </cell>
        </row>
        <row r="1601">
          <cell r="B1601">
            <v>35162</v>
          </cell>
          <cell r="C1601">
            <v>1046.92</v>
          </cell>
        </row>
        <row r="1602">
          <cell r="B1602">
            <v>35163</v>
          </cell>
          <cell r="C1602">
            <v>1046.92</v>
          </cell>
        </row>
        <row r="1603">
          <cell r="B1603">
            <v>35164</v>
          </cell>
          <cell r="C1603">
            <v>1050.1199999999999</v>
          </cell>
        </row>
        <row r="1604">
          <cell r="B1604">
            <v>35165</v>
          </cell>
          <cell r="C1604">
            <v>1047.3499999999999</v>
          </cell>
        </row>
        <row r="1605">
          <cell r="B1605">
            <v>35166</v>
          </cell>
          <cell r="C1605">
            <v>1046.55</v>
          </cell>
        </row>
        <row r="1606">
          <cell r="B1606">
            <v>35167</v>
          </cell>
          <cell r="C1606">
            <v>1047.48</v>
          </cell>
        </row>
        <row r="1607">
          <cell r="B1607">
            <v>35168</v>
          </cell>
          <cell r="C1607">
            <v>1048.8900000000001</v>
          </cell>
        </row>
        <row r="1608">
          <cell r="B1608">
            <v>35169</v>
          </cell>
          <cell r="C1608">
            <v>1048.8900000000001</v>
          </cell>
        </row>
        <row r="1609">
          <cell r="B1609">
            <v>35170</v>
          </cell>
          <cell r="C1609">
            <v>1048.8900000000001</v>
          </cell>
        </row>
        <row r="1610">
          <cell r="B1610">
            <v>35171</v>
          </cell>
          <cell r="C1610">
            <v>1050.73</v>
          </cell>
        </row>
        <row r="1611">
          <cell r="B1611">
            <v>35172</v>
          </cell>
          <cell r="C1611">
            <v>1054.4100000000001</v>
          </cell>
        </row>
        <row r="1612">
          <cell r="B1612">
            <v>35173</v>
          </cell>
          <cell r="C1612">
            <v>1054.03</v>
          </cell>
        </row>
        <row r="1613">
          <cell r="B1613">
            <v>35174</v>
          </cell>
          <cell r="C1613">
            <v>1052.9000000000001</v>
          </cell>
        </row>
        <row r="1614">
          <cell r="B1614">
            <v>35175</v>
          </cell>
          <cell r="C1614">
            <v>1053.5899999999999</v>
          </cell>
        </row>
        <row r="1615">
          <cell r="B1615">
            <v>35176</v>
          </cell>
          <cell r="C1615">
            <v>1053.5899999999999</v>
          </cell>
        </row>
        <row r="1616">
          <cell r="B1616">
            <v>35177</v>
          </cell>
          <cell r="C1616">
            <v>1053.5899999999999</v>
          </cell>
        </row>
        <row r="1617">
          <cell r="B1617">
            <v>35178</v>
          </cell>
          <cell r="C1617">
            <v>1054.43</v>
          </cell>
        </row>
        <row r="1618">
          <cell r="B1618">
            <v>35179</v>
          </cell>
          <cell r="C1618">
            <v>1055.31</v>
          </cell>
        </row>
        <row r="1619">
          <cell r="B1619">
            <v>35180</v>
          </cell>
          <cell r="C1619">
            <v>1054.53</v>
          </cell>
        </row>
        <row r="1620">
          <cell r="B1620">
            <v>35181</v>
          </cell>
          <cell r="C1620">
            <v>1054.29</v>
          </cell>
        </row>
        <row r="1621">
          <cell r="B1621">
            <v>35182</v>
          </cell>
          <cell r="C1621">
            <v>1054.8</v>
          </cell>
        </row>
        <row r="1622">
          <cell r="B1622">
            <v>35183</v>
          </cell>
          <cell r="C1622">
            <v>1054.8</v>
          </cell>
        </row>
        <row r="1623">
          <cell r="B1623">
            <v>35184</v>
          </cell>
          <cell r="C1623">
            <v>1054.8</v>
          </cell>
        </row>
        <row r="1624">
          <cell r="B1624">
            <v>35185</v>
          </cell>
          <cell r="C1624">
            <v>1058.9000000000001</v>
          </cell>
        </row>
        <row r="1625">
          <cell r="B1625">
            <v>35186</v>
          </cell>
          <cell r="C1625">
            <v>1061.55</v>
          </cell>
        </row>
        <row r="1626">
          <cell r="B1626">
            <v>35187</v>
          </cell>
          <cell r="C1626">
            <v>1061.55</v>
          </cell>
        </row>
        <row r="1627">
          <cell r="B1627">
            <v>35188</v>
          </cell>
          <cell r="C1627">
            <v>1062.56</v>
          </cell>
        </row>
        <row r="1628">
          <cell r="B1628">
            <v>35189</v>
          </cell>
          <cell r="C1628">
            <v>1062.4000000000001</v>
          </cell>
        </row>
        <row r="1629">
          <cell r="B1629">
            <v>35190</v>
          </cell>
          <cell r="C1629">
            <v>1062.4000000000001</v>
          </cell>
        </row>
        <row r="1630">
          <cell r="B1630">
            <v>35191</v>
          </cell>
          <cell r="C1630">
            <v>1062.4000000000001</v>
          </cell>
        </row>
        <row r="1631">
          <cell r="B1631">
            <v>35192</v>
          </cell>
          <cell r="C1631">
            <v>1063.4100000000001</v>
          </cell>
        </row>
        <row r="1632">
          <cell r="B1632">
            <v>35193</v>
          </cell>
          <cell r="C1632">
            <v>1063.53</v>
          </cell>
        </row>
        <row r="1633">
          <cell r="B1633">
            <v>35194</v>
          </cell>
          <cell r="C1633">
            <v>1061.6300000000001</v>
          </cell>
        </row>
        <row r="1634">
          <cell r="B1634">
            <v>35195</v>
          </cell>
          <cell r="C1634">
            <v>1061.0999999999999</v>
          </cell>
        </row>
        <row r="1635">
          <cell r="B1635">
            <v>35196</v>
          </cell>
          <cell r="C1635">
            <v>1062.08</v>
          </cell>
        </row>
        <row r="1636">
          <cell r="B1636">
            <v>35197</v>
          </cell>
          <cell r="C1636">
            <v>1062.08</v>
          </cell>
        </row>
        <row r="1637">
          <cell r="B1637">
            <v>35198</v>
          </cell>
          <cell r="C1637">
            <v>1062.08</v>
          </cell>
        </row>
        <row r="1638">
          <cell r="B1638">
            <v>35199</v>
          </cell>
          <cell r="C1638">
            <v>1065.78</v>
          </cell>
        </row>
        <row r="1639">
          <cell r="B1639">
            <v>35200</v>
          </cell>
          <cell r="C1639">
            <v>1066.24</v>
          </cell>
        </row>
        <row r="1640">
          <cell r="B1640">
            <v>35201</v>
          </cell>
          <cell r="C1640">
            <v>1066.6099999999999</v>
          </cell>
        </row>
        <row r="1641">
          <cell r="B1641">
            <v>35202</v>
          </cell>
          <cell r="C1641">
            <v>1065.8800000000001</v>
          </cell>
        </row>
        <row r="1642">
          <cell r="B1642">
            <v>35203</v>
          </cell>
          <cell r="C1642">
            <v>1066.47</v>
          </cell>
        </row>
        <row r="1643">
          <cell r="B1643">
            <v>35204</v>
          </cell>
          <cell r="C1643">
            <v>1066.47</v>
          </cell>
        </row>
        <row r="1644">
          <cell r="B1644">
            <v>35205</v>
          </cell>
          <cell r="C1644">
            <v>1066.47</v>
          </cell>
        </row>
        <row r="1645">
          <cell r="B1645">
            <v>35206</v>
          </cell>
          <cell r="C1645">
            <v>1066.47</v>
          </cell>
        </row>
        <row r="1646">
          <cell r="B1646">
            <v>35207</v>
          </cell>
          <cell r="C1646">
            <v>1068.18</v>
          </cell>
        </row>
        <row r="1647">
          <cell r="B1647">
            <v>35208</v>
          </cell>
          <cell r="C1647">
            <v>1068.9100000000001</v>
          </cell>
        </row>
        <row r="1648">
          <cell r="B1648">
            <v>35209</v>
          </cell>
          <cell r="C1648">
            <v>1069.47</v>
          </cell>
        </row>
        <row r="1649">
          <cell r="B1649">
            <v>35210</v>
          </cell>
          <cell r="C1649">
            <v>1068.94</v>
          </cell>
        </row>
        <row r="1650">
          <cell r="B1650">
            <v>35211</v>
          </cell>
          <cell r="C1650">
            <v>1068.94</v>
          </cell>
        </row>
        <row r="1651">
          <cell r="B1651">
            <v>35212</v>
          </cell>
          <cell r="C1651">
            <v>1068.94</v>
          </cell>
        </row>
        <row r="1652">
          <cell r="B1652">
            <v>35213</v>
          </cell>
          <cell r="C1652">
            <v>1069.8</v>
          </cell>
        </row>
        <row r="1653">
          <cell r="B1653">
            <v>35214</v>
          </cell>
          <cell r="C1653">
            <v>1071.19</v>
          </cell>
        </row>
        <row r="1654">
          <cell r="B1654">
            <v>35215</v>
          </cell>
          <cell r="C1654">
            <v>1072.24</v>
          </cell>
        </row>
        <row r="1655">
          <cell r="B1655">
            <v>35216</v>
          </cell>
          <cell r="C1655">
            <v>1073.06</v>
          </cell>
        </row>
        <row r="1656">
          <cell r="B1656">
            <v>35217</v>
          </cell>
          <cell r="C1656">
            <v>1072.5899999999999</v>
          </cell>
        </row>
        <row r="1657">
          <cell r="B1657">
            <v>35218</v>
          </cell>
          <cell r="C1657">
            <v>1072.5899999999999</v>
          </cell>
        </row>
        <row r="1658">
          <cell r="B1658">
            <v>35219</v>
          </cell>
          <cell r="C1658">
            <v>1072.5899999999999</v>
          </cell>
        </row>
        <row r="1659">
          <cell r="B1659">
            <v>35220</v>
          </cell>
          <cell r="C1659">
            <v>1074.7</v>
          </cell>
        </row>
        <row r="1660">
          <cell r="B1660">
            <v>35221</v>
          </cell>
          <cell r="C1660">
            <v>1074.72</v>
          </cell>
        </row>
        <row r="1661">
          <cell r="B1661">
            <v>35222</v>
          </cell>
          <cell r="C1661">
            <v>1074.27</v>
          </cell>
        </row>
        <row r="1662">
          <cell r="B1662">
            <v>35223</v>
          </cell>
          <cell r="C1662">
            <v>1072.95</v>
          </cell>
        </row>
        <row r="1663">
          <cell r="B1663">
            <v>35224</v>
          </cell>
          <cell r="C1663">
            <v>1073.06</v>
          </cell>
        </row>
        <row r="1664">
          <cell r="B1664">
            <v>35225</v>
          </cell>
          <cell r="C1664">
            <v>1073.06</v>
          </cell>
        </row>
        <row r="1665">
          <cell r="B1665">
            <v>35226</v>
          </cell>
          <cell r="C1665">
            <v>1073.06</v>
          </cell>
        </row>
        <row r="1666">
          <cell r="B1666">
            <v>35227</v>
          </cell>
          <cell r="C1666">
            <v>1073.06</v>
          </cell>
        </row>
        <row r="1667">
          <cell r="B1667">
            <v>35228</v>
          </cell>
          <cell r="C1667">
            <v>1073.6500000000001</v>
          </cell>
        </row>
        <row r="1668">
          <cell r="B1668">
            <v>35229</v>
          </cell>
          <cell r="C1668">
            <v>1070.8</v>
          </cell>
        </row>
        <row r="1669">
          <cell r="B1669">
            <v>35230</v>
          </cell>
          <cell r="C1669">
            <v>1072.3399999999999</v>
          </cell>
        </row>
        <row r="1670">
          <cell r="B1670">
            <v>35231</v>
          </cell>
          <cell r="C1670">
            <v>1071.3499999999999</v>
          </cell>
        </row>
        <row r="1671">
          <cell r="B1671">
            <v>35232</v>
          </cell>
          <cell r="C1671">
            <v>1071.3499999999999</v>
          </cell>
        </row>
        <row r="1672">
          <cell r="B1672">
            <v>35233</v>
          </cell>
          <cell r="C1672">
            <v>1071.3499999999999</v>
          </cell>
        </row>
        <row r="1673">
          <cell r="B1673">
            <v>35234</v>
          </cell>
          <cell r="C1673">
            <v>1071.3499999999999</v>
          </cell>
        </row>
        <row r="1674">
          <cell r="B1674">
            <v>35235</v>
          </cell>
          <cell r="C1674">
            <v>1072.74</v>
          </cell>
        </row>
        <row r="1675">
          <cell r="B1675">
            <v>35236</v>
          </cell>
          <cell r="C1675">
            <v>1070.94</v>
          </cell>
        </row>
        <row r="1676">
          <cell r="B1676">
            <v>35237</v>
          </cell>
          <cell r="C1676">
            <v>1070.8599999999999</v>
          </cell>
        </row>
        <row r="1677">
          <cell r="B1677">
            <v>35238</v>
          </cell>
          <cell r="C1677">
            <v>1068.2</v>
          </cell>
        </row>
        <row r="1678">
          <cell r="B1678">
            <v>35239</v>
          </cell>
          <cell r="C1678">
            <v>1068.2</v>
          </cell>
        </row>
        <row r="1679">
          <cell r="B1679">
            <v>35240</v>
          </cell>
          <cell r="C1679">
            <v>1068.2</v>
          </cell>
        </row>
        <row r="1680">
          <cell r="B1680">
            <v>35241</v>
          </cell>
          <cell r="C1680">
            <v>1070.25</v>
          </cell>
        </row>
        <row r="1681">
          <cell r="B1681">
            <v>35242</v>
          </cell>
          <cell r="C1681">
            <v>1069.81</v>
          </cell>
        </row>
        <row r="1682">
          <cell r="B1682">
            <v>35243</v>
          </cell>
          <cell r="C1682">
            <v>1072.3699999999999</v>
          </cell>
        </row>
        <row r="1683">
          <cell r="B1683">
            <v>35244</v>
          </cell>
          <cell r="C1683">
            <v>1069.73</v>
          </cell>
        </row>
        <row r="1684">
          <cell r="B1684">
            <v>35245</v>
          </cell>
          <cell r="C1684">
            <v>1069.1099999999999</v>
          </cell>
        </row>
        <row r="1685">
          <cell r="B1685">
            <v>35246</v>
          </cell>
          <cell r="C1685">
            <v>1069.1099999999999</v>
          </cell>
        </row>
        <row r="1686">
          <cell r="B1686">
            <v>35247</v>
          </cell>
          <cell r="C1686">
            <v>1069.1099999999999</v>
          </cell>
        </row>
        <row r="1687">
          <cell r="B1687">
            <v>35248</v>
          </cell>
          <cell r="C1687">
            <v>1069.1099999999999</v>
          </cell>
        </row>
        <row r="1688">
          <cell r="B1688">
            <v>35249</v>
          </cell>
          <cell r="C1688">
            <v>1070.55</v>
          </cell>
        </row>
        <row r="1689">
          <cell r="B1689">
            <v>35250</v>
          </cell>
          <cell r="C1689">
            <v>1068.1199999999999</v>
          </cell>
        </row>
        <row r="1690">
          <cell r="B1690">
            <v>35251</v>
          </cell>
          <cell r="C1690">
            <v>1068.3</v>
          </cell>
        </row>
        <row r="1691">
          <cell r="B1691">
            <v>35252</v>
          </cell>
          <cell r="C1691">
            <v>1067.3499999999999</v>
          </cell>
        </row>
        <row r="1692">
          <cell r="B1692">
            <v>35253</v>
          </cell>
          <cell r="C1692">
            <v>1067.3499999999999</v>
          </cell>
        </row>
        <row r="1693">
          <cell r="B1693">
            <v>35254</v>
          </cell>
          <cell r="C1693">
            <v>1067.3499999999999</v>
          </cell>
        </row>
        <row r="1694">
          <cell r="B1694">
            <v>35255</v>
          </cell>
          <cell r="C1694">
            <v>1068.17</v>
          </cell>
        </row>
        <row r="1695">
          <cell r="B1695">
            <v>35256</v>
          </cell>
          <cell r="C1695">
            <v>1067.97</v>
          </cell>
        </row>
        <row r="1696">
          <cell r="B1696">
            <v>35257</v>
          </cell>
          <cell r="C1696">
            <v>1065.6500000000001</v>
          </cell>
        </row>
        <row r="1697">
          <cell r="B1697">
            <v>35258</v>
          </cell>
          <cell r="C1697">
            <v>1061.79</v>
          </cell>
        </row>
        <row r="1698">
          <cell r="B1698">
            <v>35259</v>
          </cell>
          <cell r="C1698">
            <v>1061.99</v>
          </cell>
        </row>
        <row r="1699">
          <cell r="B1699">
            <v>35260</v>
          </cell>
          <cell r="C1699">
            <v>1061.99</v>
          </cell>
        </row>
        <row r="1700">
          <cell r="B1700">
            <v>35261</v>
          </cell>
          <cell r="C1700">
            <v>1061.99</v>
          </cell>
        </row>
        <row r="1701">
          <cell r="B1701">
            <v>35262</v>
          </cell>
          <cell r="C1701">
            <v>1065.58</v>
          </cell>
        </row>
        <row r="1702">
          <cell r="B1702">
            <v>35263</v>
          </cell>
          <cell r="C1702">
            <v>1064.82</v>
          </cell>
        </row>
        <row r="1703">
          <cell r="B1703">
            <v>35264</v>
          </cell>
          <cell r="C1703">
            <v>1062.8599999999999</v>
          </cell>
        </row>
        <row r="1704">
          <cell r="B1704">
            <v>35265</v>
          </cell>
          <cell r="C1704">
            <v>1058.92</v>
          </cell>
        </row>
        <row r="1705">
          <cell r="B1705">
            <v>35266</v>
          </cell>
          <cell r="C1705">
            <v>1061.02</v>
          </cell>
        </row>
        <row r="1706">
          <cell r="B1706">
            <v>35267</v>
          </cell>
          <cell r="C1706">
            <v>1061.02</v>
          </cell>
        </row>
        <row r="1707">
          <cell r="B1707">
            <v>35268</v>
          </cell>
          <cell r="C1707">
            <v>1061.02</v>
          </cell>
        </row>
        <row r="1708">
          <cell r="B1708">
            <v>35269</v>
          </cell>
          <cell r="C1708">
            <v>1063.53</v>
          </cell>
        </row>
        <row r="1709">
          <cell r="B1709">
            <v>35270</v>
          </cell>
          <cell r="C1709">
            <v>1064.56</v>
          </cell>
        </row>
        <row r="1710">
          <cell r="B1710">
            <v>35271</v>
          </cell>
          <cell r="C1710">
            <v>1061.46</v>
          </cell>
        </row>
        <row r="1711">
          <cell r="B1711">
            <v>35272</v>
          </cell>
          <cell r="C1711">
            <v>1061.03</v>
          </cell>
        </row>
        <row r="1712">
          <cell r="B1712">
            <v>35273</v>
          </cell>
          <cell r="C1712">
            <v>1061.48</v>
          </cell>
        </row>
        <row r="1713">
          <cell r="B1713">
            <v>35274</v>
          </cell>
          <cell r="C1713">
            <v>1061.48</v>
          </cell>
        </row>
        <row r="1714">
          <cell r="B1714">
            <v>35275</v>
          </cell>
          <cell r="C1714">
            <v>1061.48</v>
          </cell>
        </row>
        <row r="1715">
          <cell r="B1715">
            <v>35276</v>
          </cell>
          <cell r="C1715">
            <v>1059.18</v>
          </cell>
        </row>
        <row r="1716">
          <cell r="B1716">
            <v>35277</v>
          </cell>
          <cell r="C1716">
            <v>1056.74</v>
          </cell>
        </row>
        <row r="1717">
          <cell r="B1717">
            <v>35278</v>
          </cell>
          <cell r="C1717">
            <v>1057.47</v>
          </cell>
        </row>
        <row r="1718">
          <cell r="B1718">
            <v>35279</v>
          </cell>
          <cell r="C1718">
            <v>1054.8699999999999</v>
          </cell>
        </row>
        <row r="1719">
          <cell r="B1719">
            <v>35280</v>
          </cell>
          <cell r="C1719">
            <v>1054.0999999999999</v>
          </cell>
        </row>
        <row r="1720">
          <cell r="B1720">
            <v>35281</v>
          </cell>
          <cell r="C1720">
            <v>1054.0999999999999</v>
          </cell>
        </row>
        <row r="1721">
          <cell r="B1721">
            <v>35282</v>
          </cell>
          <cell r="C1721">
            <v>1054.0999999999999</v>
          </cell>
        </row>
        <row r="1722">
          <cell r="B1722">
            <v>35283</v>
          </cell>
          <cell r="C1722">
            <v>1051.6099999999999</v>
          </cell>
        </row>
        <row r="1723">
          <cell r="B1723">
            <v>35284</v>
          </cell>
          <cell r="C1723">
            <v>1049.3699999999999</v>
          </cell>
        </row>
        <row r="1724">
          <cell r="B1724">
            <v>35285</v>
          </cell>
          <cell r="C1724">
            <v>1049.3699999999999</v>
          </cell>
        </row>
        <row r="1725">
          <cell r="B1725">
            <v>35286</v>
          </cell>
          <cell r="C1725">
            <v>1044.9000000000001</v>
          </cell>
        </row>
        <row r="1726">
          <cell r="B1726">
            <v>35287</v>
          </cell>
          <cell r="C1726">
            <v>1040.68</v>
          </cell>
        </row>
        <row r="1727">
          <cell r="B1727">
            <v>35288</v>
          </cell>
          <cell r="C1727">
            <v>1040.68</v>
          </cell>
        </row>
        <row r="1728">
          <cell r="B1728">
            <v>35289</v>
          </cell>
          <cell r="C1728">
            <v>1040.68</v>
          </cell>
        </row>
        <row r="1729">
          <cell r="B1729">
            <v>35290</v>
          </cell>
          <cell r="C1729">
            <v>1035.79</v>
          </cell>
        </row>
        <row r="1730">
          <cell r="B1730">
            <v>35291</v>
          </cell>
          <cell r="C1730">
            <v>1029.46</v>
          </cell>
        </row>
        <row r="1731">
          <cell r="B1731">
            <v>35292</v>
          </cell>
          <cell r="C1731">
            <v>1041.76</v>
          </cell>
        </row>
        <row r="1732">
          <cell r="B1732">
            <v>35293</v>
          </cell>
          <cell r="C1732">
            <v>1051.82</v>
          </cell>
        </row>
        <row r="1733">
          <cell r="B1733">
            <v>35294</v>
          </cell>
          <cell r="C1733">
            <v>1047.9000000000001</v>
          </cell>
        </row>
        <row r="1734">
          <cell r="B1734">
            <v>35295</v>
          </cell>
          <cell r="C1734">
            <v>1047.9000000000001</v>
          </cell>
        </row>
        <row r="1735">
          <cell r="B1735">
            <v>35296</v>
          </cell>
          <cell r="C1735">
            <v>1047.9000000000001</v>
          </cell>
        </row>
        <row r="1736">
          <cell r="B1736">
            <v>35297</v>
          </cell>
          <cell r="C1736">
            <v>1047.9000000000001</v>
          </cell>
        </row>
        <row r="1737">
          <cell r="B1737">
            <v>35298</v>
          </cell>
          <cell r="C1737">
            <v>1044.54</v>
          </cell>
        </row>
        <row r="1738">
          <cell r="B1738">
            <v>35299</v>
          </cell>
          <cell r="C1738">
            <v>1037.43</v>
          </cell>
        </row>
        <row r="1739">
          <cell r="B1739">
            <v>35300</v>
          </cell>
          <cell r="C1739">
            <v>1040.1500000000001</v>
          </cell>
        </row>
        <row r="1740">
          <cell r="B1740">
            <v>35301</v>
          </cell>
          <cell r="C1740">
            <v>1037.0999999999999</v>
          </cell>
        </row>
        <row r="1741">
          <cell r="B1741">
            <v>35302</v>
          </cell>
          <cell r="C1741">
            <v>1037.0999999999999</v>
          </cell>
        </row>
        <row r="1742">
          <cell r="B1742">
            <v>35303</v>
          </cell>
          <cell r="C1742">
            <v>1037.0999999999999</v>
          </cell>
        </row>
        <row r="1743">
          <cell r="B1743">
            <v>35304</v>
          </cell>
          <cell r="C1743">
            <v>1041.6400000000001</v>
          </cell>
        </row>
        <row r="1744">
          <cell r="B1744">
            <v>35305</v>
          </cell>
          <cell r="C1744">
            <v>1044.54</v>
          </cell>
        </row>
        <row r="1745">
          <cell r="B1745">
            <v>35306</v>
          </cell>
          <cell r="C1745">
            <v>1046.7</v>
          </cell>
        </row>
        <row r="1746">
          <cell r="B1746">
            <v>35307</v>
          </cell>
          <cell r="C1746">
            <v>1045.02</v>
          </cell>
        </row>
        <row r="1747">
          <cell r="B1747">
            <v>35308</v>
          </cell>
          <cell r="C1747">
            <v>1042.32</v>
          </cell>
        </row>
        <row r="1748">
          <cell r="B1748">
            <v>35309</v>
          </cell>
          <cell r="C1748">
            <v>1042.32</v>
          </cell>
        </row>
        <row r="1749">
          <cell r="B1749">
            <v>35310</v>
          </cell>
          <cell r="C1749">
            <v>1042.32</v>
          </cell>
        </row>
        <row r="1750">
          <cell r="B1750">
            <v>35311</v>
          </cell>
          <cell r="C1750">
            <v>1044.3800000000001</v>
          </cell>
        </row>
        <row r="1751">
          <cell r="B1751">
            <v>35312</v>
          </cell>
          <cell r="C1751">
            <v>1045.27</v>
          </cell>
        </row>
        <row r="1752">
          <cell r="B1752">
            <v>35313</v>
          </cell>
          <cell r="C1752">
            <v>1044.0899999999999</v>
          </cell>
        </row>
        <row r="1753">
          <cell r="B1753">
            <v>35314</v>
          </cell>
          <cell r="C1753">
            <v>1043.93</v>
          </cell>
        </row>
        <row r="1754">
          <cell r="B1754">
            <v>35315</v>
          </cell>
          <cell r="C1754">
            <v>1045.8699999999999</v>
          </cell>
        </row>
        <row r="1755">
          <cell r="B1755">
            <v>35316</v>
          </cell>
          <cell r="C1755">
            <v>1045.8699999999999</v>
          </cell>
        </row>
        <row r="1756">
          <cell r="B1756">
            <v>35317</v>
          </cell>
          <cell r="C1756">
            <v>1045.8699999999999</v>
          </cell>
        </row>
        <row r="1757">
          <cell r="B1757">
            <v>35318</v>
          </cell>
          <cell r="C1757">
            <v>1047.95</v>
          </cell>
        </row>
        <row r="1758">
          <cell r="B1758">
            <v>35319</v>
          </cell>
          <cell r="C1758">
            <v>1051.6400000000001</v>
          </cell>
        </row>
        <row r="1759">
          <cell r="B1759">
            <v>35320</v>
          </cell>
          <cell r="C1759">
            <v>1047.26</v>
          </cell>
        </row>
        <row r="1760">
          <cell r="B1760">
            <v>35321</v>
          </cell>
          <cell r="C1760">
            <v>1047.6600000000001</v>
          </cell>
        </row>
        <row r="1761">
          <cell r="B1761">
            <v>35322</v>
          </cell>
          <cell r="C1761">
            <v>1043.8900000000001</v>
          </cell>
        </row>
        <row r="1762">
          <cell r="B1762">
            <v>35323</v>
          </cell>
          <cell r="C1762">
            <v>1043.8900000000001</v>
          </cell>
        </row>
        <row r="1763">
          <cell r="B1763">
            <v>35324</v>
          </cell>
          <cell r="C1763">
            <v>1043.8900000000001</v>
          </cell>
        </row>
        <row r="1764">
          <cell r="B1764">
            <v>35325</v>
          </cell>
          <cell r="C1764">
            <v>1042.8</v>
          </cell>
        </row>
        <row r="1765">
          <cell r="B1765">
            <v>35326</v>
          </cell>
          <cell r="C1765">
            <v>1038.9000000000001</v>
          </cell>
        </row>
        <row r="1766">
          <cell r="B1766">
            <v>35327</v>
          </cell>
          <cell r="C1766">
            <v>1035.94</v>
          </cell>
        </row>
        <row r="1767">
          <cell r="B1767">
            <v>35328</v>
          </cell>
          <cell r="C1767">
            <v>1037.0999999999999</v>
          </cell>
        </row>
        <row r="1768">
          <cell r="B1768">
            <v>35329</v>
          </cell>
          <cell r="C1768">
            <v>1037.1099999999999</v>
          </cell>
        </row>
        <row r="1769">
          <cell r="B1769">
            <v>35330</v>
          </cell>
          <cell r="C1769">
            <v>1037.1099999999999</v>
          </cell>
        </row>
        <row r="1770">
          <cell r="B1770">
            <v>35331</v>
          </cell>
          <cell r="C1770">
            <v>1037.1099999999999</v>
          </cell>
        </row>
        <row r="1771">
          <cell r="B1771">
            <v>35332</v>
          </cell>
          <cell r="C1771">
            <v>1038.0899999999999</v>
          </cell>
        </row>
        <row r="1772">
          <cell r="B1772">
            <v>35333</v>
          </cell>
          <cell r="C1772">
            <v>1040.3599999999999</v>
          </cell>
        </row>
        <row r="1773">
          <cell r="B1773">
            <v>35334</v>
          </cell>
          <cell r="C1773">
            <v>1030.25</v>
          </cell>
        </row>
        <row r="1774">
          <cell r="B1774">
            <v>35335</v>
          </cell>
          <cell r="C1774">
            <v>1027.68</v>
          </cell>
        </row>
        <row r="1775">
          <cell r="B1775">
            <v>35336</v>
          </cell>
          <cell r="C1775">
            <v>1025.06</v>
          </cell>
        </row>
        <row r="1776">
          <cell r="B1776">
            <v>35337</v>
          </cell>
          <cell r="C1776">
            <v>1025.06</v>
          </cell>
        </row>
        <row r="1777">
          <cell r="B1777">
            <v>35338</v>
          </cell>
          <cell r="C1777">
            <v>1025.06</v>
          </cell>
        </row>
        <row r="1778">
          <cell r="B1778">
            <v>35339</v>
          </cell>
          <cell r="C1778">
            <v>1027.08</v>
          </cell>
        </row>
        <row r="1779">
          <cell r="B1779">
            <v>35340</v>
          </cell>
          <cell r="C1779">
            <v>1030.54</v>
          </cell>
        </row>
        <row r="1780">
          <cell r="B1780">
            <v>35341</v>
          </cell>
          <cell r="C1780">
            <v>1019.17</v>
          </cell>
        </row>
        <row r="1781">
          <cell r="B1781">
            <v>35342</v>
          </cell>
          <cell r="C1781">
            <v>1015.24</v>
          </cell>
        </row>
        <row r="1782">
          <cell r="B1782">
            <v>35343</v>
          </cell>
          <cell r="C1782">
            <v>1014.99</v>
          </cell>
        </row>
        <row r="1783">
          <cell r="B1783">
            <v>35344</v>
          </cell>
          <cell r="C1783">
            <v>1014.99</v>
          </cell>
        </row>
        <row r="1784">
          <cell r="B1784">
            <v>35345</v>
          </cell>
          <cell r="C1784">
            <v>1014.99</v>
          </cell>
        </row>
        <row r="1785">
          <cell r="B1785">
            <v>35346</v>
          </cell>
          <cell r="C1785">
            <v>1012.56</v>
          </cell>
        </row>
        <row r="1786">
          <cell r="B1786">
            <v>35347</v>
          </cell>
          <cell r="C1786">
            <v>1010.32</v>
          </cell>
        </row>
        <row r="1787">
          <cell r="B1787">
            <v>35348</v>
          </cell>
          <cell r="C1787">
            <v>1012.27</v>
          </cell>
        </row>
        <row r="1788">
          <cell r="B1788">
            <v>35349</v>
          </cell>
          <cell r="C1788">
            <v>1013.12</v>
          </cell>
        </row>
        <row r="1789">
          <cell r="B1789">
            <v>35350</v>
          </cell>
          <cell r="C1789">
            <v>1015.07</v>
          </cell>
        </row>
        <row r="1790">
          <cell r="B1790">
            <v>35351</v>
          </cell>
          <cell r="C1790">
            <v>1015.07</v>
          </cell>
        </row>
        <row r="1791">
          <cell r="B1791">
            <v>35352</v>
          </cell>
          <cell r="C1791">
            <v>1015.07</v>
          </cell>
        </row>
        <row r="1792">
          <cell r="B1792">
            <v>35353</v>
          </cell>
          <cell r="C1792">
            <v>1015.07</v>
          </cell>
        </row>
        <row r="1793">
          <cell r="B1793">
            <v>35354</v>
          </cell>
          <cell r="C1793">
            <v>1019.22</v>
          </cell>
        </row>
        <row r="1794">
          <cell r="B1794">
            <v>35355</v>
          </cell>
          <cell r="C1794">
            <v>1018.5</v>
          </cell>
        </row>
        <row r="1795">
          <cell r="B1795">
            <v>35356</v>
          </cell>
          <cell r="C1795">
            <v>1015.24</v>
          </cell>
        </row>
        <row r="1796">
          <cell r="B1796">
            <v>35357</v>
          </cell>
          <cell r="C1796">
            <v>1016.87</v>
          </cell>
        </row>
        <row r="1797">
          <cell r="B1797">
            <v>35358</v>
          </cell>
          <cell r="C1797">
            <v>1016.87</v>
          </cell>
        </row>
        <row r="1798">
          <cell r="B1798">
            <v>35359</v>
          </cell>
          <cell r="C1798">
            <v>1016.87</v>
          </cell>
        </row>
        <row r="1799">
          <cell r="B1799">
            <v>35360</v>
          </cell>
          <cell r="C1799">
            <v>1018.33</v>
          </cell>
        </row>
        <row r="1800">
          <cell r="B1800">
            <v>35361</v>
          </cell>
          <cell r="C1800">
            <v>1018.04</v>
          </cell>
        </row>
        <row r="1801">
          <cell r="B1801">
            <v>35362</v>
          </cell>
          <cell r="C1801">
            <v>1017.52</v>
          </cell>
        </row>
        <row r="1802">
          <cell r="B1802">
            <v>35363</v>
          </cell>
          <cell r="C1802">
            <v>1015.49</v>
          </cell>
        </row>
        <row r="1803">
          <cell r="B1803">
            <v>35364</v>
          </cell>
          <cell r="C1803">
            <v>1011.69</v>
          </cell>
        </row>
        <row r="1804">
          <cell r="B1804">
            <v>35365</v>
          </cell>
          <cell r="C1804">
            <v>1011.69</v>
          </cell>
        </row>
        <row r="1805">
          <cell r="B1805">
            <v>35366</v>
          </cell>
          <cell r="C1805">
            <v>1011.69</v>
          </cell>
        </row>
        <row r="1806">
          <cell r="B1806">
            <v>35367</v>
          </cell>
          <cell r="C1806">
            <v>1012.43</v>
          </cell>
        </row>
        <row r="1807">
          <cell r="B1807">
            <v>35368</v>
          </cell>
          <cell r="C1807">
            <v>1007.57</v>
          </cell>
        </row>
        <row r="1808">
          <cell r="B1808">
            <v>35369</v>
          </cell>
          <cell r="C1808">
            <v>1005.83</v>
          </cell>
        </row>
        <row r="1809">
          <cell r="B1809">
            <v>35370</v>
          </cell>
          <cell r="C1809">
            <v>1000.14</v>
          </cell>
        </row>
        <row r="1810">
          <cell r="B1810">
            <v>35371</v>
          </cell>
          <cell r="C1810">
            <v>999.49</v>
          </cell>
        </row>
        <row r="1811">
          <cell r="B1811">
            <v>35372</v>
          </cell>
          <cell r="C1811">
            <v>999.49</v>
          </cell>
        </row>
        <row r="1812">
          <cell r="B1812">
            <v>35373</v>
          </cell>
          <cell r="C1812">
            <v>999.49</v>
          </cell>
        </row>
        <row r="1813">
          <cell r="B1813">
            <v>35374</v>
          </cell>
          <cell r="C1813">
            <v>999.49</v>
          </cell>
        </row>
        <row r="1814">
          <cell r="B1814">
            <v>35375</v>
          </cell>
          <cell r="C1814">
            <v>1006.36</v>
          </cell>
        </row>
        <row r="1815">
          <cell r="B1815">
            <v>35376</v>
          </cell>
          <cell r="C1815">
            <v>1003.75</v>
          </cell>
        </row>
        <row r="1816">
          <cell r="B1816">
            <v>35377</v>
          </cell>
          <cell r="C1816">
            <v>999.59</v>
          </cell>
        </row>
        <row r="1817">
          <cell r="B1817">
            <v>35378</v>
          </cell>
          <cell r="C1817">
            <v>1001.24</v>
          </cell>
        </row>
        <row r="1818">
          <cell r="B1818">
            <v>35379</v>
          </cell>
          <cell r="C1818">
            <v>1001.24</v>
          </cell>
        </row>
        <row r="1819">
          <cell r="B1819">
            <v>35380</v>
          </cell>
          <cell r="C1819">
            <v>1001.24</v>
          </cell>
        </row>
        <row r="1820">
          <cell r="B1820">
            <v>35381</v>
          </cell>
          <cell r="C1820">
            <v>1001.24</v>
          </cell>
        </row>
        <row r="1821">
          <cell r="B1821">
            <v>35382</v>
          </cell>
          <cell r="C1821">
            <v>1000.22</v>
          </cell>
        </row>
        <row r="1822">
          <cell r="B1822">
            <v>35383</v>
          </cell>
          <cell r="C1822">
            <v>997.38</v>
          </cell>
        </row>
        <row r="1823">
          <cell r="B1823">
            <v>35384</v>
          </cell>
          <cell r="C1823">
            <v>1001.68</v>
          </cell>
        </row>
        <row r="1824">
          <cell r="B1824">
            <v>35385</v>
          </cell>
          <cell r="C1824">
            <v>999.68</v>
          </cell>
        </row>
        <row r="1825">
          <cell r="B1825">
            <v>35386</v>
          </cell>
          <cell r="C1825">
            <v>999.68</v>
          </cell>
        </row>
        <row r="1826">
          <cell r="B1826">
            <v>35387</v>
          </cell>
          <cell r="C1826">
            <v>999.68</v>
          </cell>
        </row>
        <row r="1827">
          <cell r="B1827">
            <v>35388</v>
          </cell>
          <cell r="C1827">
            <v>995.96</v>
          </cell>
        </row>
        <row r="1828">
          <cell r="B1828">
            <v>35389</v>
          </cell>
          <cell r="C1828">
            <v>994.02</v>
          </cell>
        </row>
        <row r="1829">
          <cell r="B1829">
            <v>35390</v>
          </cell>
          <cell r="C1829">
            <v>995.2</v>
          </cell>
        </row>
        <row r="1830">
          <cell r="B1830">
            <v>35391</v>
          </cell>
          <cell r="C1830">
            <v>994.37</v>
          </cell>
        </row>
        <row r="1831">
          <cell r="B1831">
            <v>35392</v>
          </cell>
          <cell r="C1831">
            <v>995.34</v>
          </cell>
        </row>
        <row r="1832">
          <cell r="B1832">
            <v>35393</v>
          </cell>
          <cell r="C1832">
            <v>995.34</v>
          </cell>
        </row>
        <row r="1833">
          <cell r="B1833">
            <v>35394</v>
          </cell>
          <cell r="C1833">
            <v>995.34</v>
          </cell>
        </row>
        <row r="1834">
          <cell r="B1834">
            <v>35395</v>
          </cell>
          <cell r="C1834">
            <v>995.05</v>
          </cell>
        </row>
        <row r="1835">
          <cell r="B1835">
            <v>35396</v>
          </cell>
          <cell r="C1835">
            <v>995.05</v>
          </cell>
        </row>
        <row r="1836">
          <cell r="B1836">
            <v>35397</v>
          </cell>
          <cell r="C1836">
            <v>995.93</v>
          </cell>
        </row>
        <row r="1837">
          <cell r="B1837">
            <v>35398</v>
          </cell>
          <cell r="C1837">
            <v>994.94</v>
          </cell>
        </row>
        <row r="1838">
          <cell r="B1838">
            <v>35399</v>
          </cell>
          <cell r="C1838">
            <v>1002.28</v>
          </cell>
        </row>
        <row r="1839">
          <cell r="B1839">
            <v>35400</v>
          </cell>
          <cell r="C1839">
            <v>1002.28</v>
          </cell>
        </row>
        <row r="1840">
          <cell r="B1840">
            <v>35401</v>
          </cell>
          <cell r="C1840">
            <v>1002.28</v>
          </cell>
        </row>
        <row r="1841">
          <cell r="B1841">
            <v>35402</v>
          </cell>
          <cell r="C1841">
            <v>1000.09</v>
          </cell>
        </row>
        <row r="1842">
          <cell r="B1842">
            <v>35403</v>
          </cell>
          <cell r="C1842">
            <v>995.73</v>
          </cell>
        </row>
        <row r="1843">
          <cell r="B1843">
            <v>35404</v>
          </cell>
          <cell r="C1843">
            <v>997.4</v>
          </cell>
        </row>
        <row r="1844">
          <cell r="B1844">
            <v>35405</v>
          </cell>
          <cell r="C1844">
            <v>997.48</v>
          </cell>
        </row>
        <row r="1845">
          <cell r="B1845">
            <v>35406</v>
          </cell>
          <cell r="C1845">
            <v>1001.82</v>
          </cell>
        </row>
        <row r="1846">
          <cell r="B1846">
            <v>35407</v>
          </cell>
          <cell r="C1846">
            <v>1001.82</v>
          </cell>
        </row>
        <row r="1847">
          <cell r="B1847">
            <v>35408</v>
          </cell>
          <cell r="C1847">
            <v>1001.82</v>
          </cell>
        </row>
        <row r="1848">
          <cell r="B1848">
            <v>35409</v>
          </cell>
          <cell r="C1848">
            <v>997.99</v>
          </cell>
        </row>
        <row r="1849">
          <cell r="B1849">
            <v>35410</v>
          </cell>
          <cell r="C1849">
            <v>998.17</v>
          </cell>
        </row>
        <row r="1850">
          <cell r="B1850">
            <v>35411</v>
          </cell>
          <cell r="C1850">
            <v>998.31</v>
          </cell>
        </row>
        <row r="1851">
          <cell r="B1851">
            <v>35412</v>
          </cell>
          <cell r="C1851">
            <v>999.47</v>
          </cell>
        </row>
        <row r="1852">
          <cell r="B1852">
            <v>35413</v>
          </cell>
          <cell r="C1852">
            <v>1002.95</v>
          </cell>
        </row>
        <row r="1853">
          <cell r="B1853">
            <v>35414</v>
          </cell>
          <cell r="C1853">
            <v>1002.95</v>
          </cell>
        </row>
        <row r="1854">
          <cell r="B1854">
            <v>35415</v>
          </cell>
          <cell r="C1854">
            <v>1002.95</v>
          </cell>
        </row>
        <row r="1855">
          <cell r="B1855">
            <v>35416</v>
          </cell>
          <cell r="C1855">
            <v>1001.58</v>
          </cell>
        </row>
        <row r="1856">
          <cell r="B1856">
            <v>35417</v>
          </cell>
          <cell r="C1856">
            <v>1000.4</v>
          </cell>
        </row>
        <row r="1857">
          <cell r="B1857">
            <v>35418</v>
          </cell>
          <cell r="C1857">
            <v>1001.18</v>
          </cell>
        </row>
        <row r="1858">
          <cell r="B1858">
            <v>35419</v>
          </cell>
          <cell r="C1858">
            <v>1001.1</v>
          </cell>
        </row>
        <row r="1859">
          <cell r="B1859">
            <v>35420</v>
          </cell>
          <cell r="C1859">
            <v>1003.15</v>
          </cell>
        </row>
        <row r="1860">
          <cell r="B1860">
            <v>35421</v>
          </cell>
          <cell r="C1860">
            <v>1003.15</v>
          </cell>
        </row>
        <row r="1861">
          <cell r="B1861">
            <v>35422</v>
          </cell>
          <cell r="C1861">
            <v>1003.15</v>
          </cell>
        </row>
        <row r="1862">
          <cell r="B1862">
            <v>35423</v>
          </cell>
          <cell r="C1862">
            <v>1002.51</v>
          </cell>
        </row>
        <row r="1863">
          <cell r="B1863">
            <v>35424</v>
          </cell>
          <cell r="C1863">
            <v>1002.51</v>
          </cell>
        </row>
        <row r="1864">
          <cell r="B1864">
            <v>35425</v>
          </cell>
          <cell r="C1864">
            <v>1002.51</v>
          </cell>
        </row>
        <row r="1865">
          <cell r="B1865">
            <v>35426</v>
          </cell>
          <cell r="C1865">
            <v>1003.49</v>
          </cell>
        </row>
        <row r="1866">
          <cell r="B1866">
            <v>35427</v>
          </cell>
          <cell r="C1866">
            <v>1005.4</v>
          </cell>
        </row>
        <row r="1867">
          <cell r="B1867">
            <v>35428</v>
          </cell>
          <cell r="C1867">
            <v>1005.4</v>
          </cell>
        </row>
        <row r="1868">
          <cell r="B1868">
            <v>35429</v>
          </cell>
          <cell r="C1868">
            <v>1005.4</v>
          </cell>
        </row>
        <row r="1869">
          <cell r="B1869">
            <v>35430</v>
          </cell>
          <cell r="C1869">
            <v>1005.33</v>
          </cell>
        </row>
        <row r="1870">
          <cell r="B1870">
            <v>35431</v>
          </cell>
          <cell r="C1870">
            <v>1005.33</v>
          </cell>
        </row>
        <row r="1871">
          <cell r="B1871">
            <v>35432</v>
          </cell>
          <cell r="C1871">
            <v>1005.33</v>
          </cell>
        </row>
        <row r="1872">
          <cell r="B1872">
            <v>35433</v>
          </cell>
          <cell r="C1872">
            <v>1007.33</v>
          </cell>
        </row>
        <row r="1873">
          <cell r="B1873">
            <v>35434</v>
          </cell>
          <cell r="C1873">
            <v>1016.81</v>
          </cell>
        </row>
        <row r="1874">
          <cell r="B1874">
            <v>35435</v>
          </cell>
          <cell r="C1874">
            <v>1016.81</v>
          </cell>
        </row>
        <row r="1875">
          <cell r="B1875">
            <v>35436</v>
          </cell>
          <cell r="C1875">
            <v>1016.81</v>
          </cell>
        </row>
        <row r="1876">
          <cell r="B1876">
            <v>35437</v>
          </cell>
          <cell r="C1876">
            <v>1016.81</v>
          </cell>
        </row>
        <row r="1877">
          <cell r="B1877">
            <v>35438</v>
          </cell>
          <cell r="C1877">
            <v>1022</v>
          </cell>
        </row>
        <row r="1878">
          <cell r="B1878">
            <v>35439</v>
          </cell>
          <cell r="C1878">
            <v>1020.16</v>
          </cell>
        </row>
        <row r="1879">
          <cell r="B1879">
            <v>35440</v>
          </cell>
          <cell r="C1879">
            <v>1013.68</v>
          </cell>
        </row>
        <row r="1880">
          <cell r="B1880">
            <v>35441</v>
          </cell>
          <cell r="C1880">
            <v>1011.01</v>
          </cell>
        </row>
        <row r="1881">
          <cell r="B1881">
            <v>35442</v>
          </cell>
          <cell r="C1881">
            <v>1011.01</v>
          </cell>
        </row>
        <row r="1882">
          <cell r="B1882">
            <v>35443</v>
          </cell>
          <cell r="C1882">
            <v>1011.01</v>
          </cell>
        </row>
        <row r="1883">
          <cell r="B1883">
            <v>35444</v>
          </cell>
          <cell r="C1883">
            <v>1015.53</v>
          </cell>
        </row>
        <row r="1884">
          <cell r="B1884">
            <v>35445</v>
          </cell>
          <cell r="C1884">
            <v>1026.53</v>
          </cell>
        </row>
        <row r="1885">
          <cell r="B1885">
            <v>35446</v>
          </cell>
          <cell r="C1885">
            <v>1023.47</v>
          </cell>
        </row>
        <row r="1886">
          <cell r="B1886">
            <v>35447</v>
          </cell>
          <cell r="C1886">
            <v>1018.15</v>
          </cell>
        </row>
        <row r="1887">
          <cell r="B1887">
            <v>35448</v>
          </cell>
          <cell r="C1887">
            <v>1020.9</v>
          </cell>
        </row>
        <row r="1888">
          <cell r="B1888">
            <v>35449</v>
          </cell>
          <cell r="C1888">
            <v>1020.9</v>
          </cell>
        </row>
        <row r="1889">
          <cell r="B1889">
            <v>35450</v>
          </cell>
          <cell r="C1889">
            <v>1020.9</v>
          </cell>
        </row>
        <row r="1890">
          <cell r="B1890">
            <v>35451</v>
          </cell>
          <cell r="C1890">
            <v>1022.75</v>
          </cell>
        </row>
        <row r="1891">
          <cell r="B1891">
            <v>35452</v>
          </cell>
          <cell r="C1891">
            <v>1023.67</v>
          </cell>
        </row>
        <row r="1892">
          <cell r="B1892">
            <v>35453</v>
          </cell>
          <cell r="C1892">
            <v>1031.02</v>
          </cell>
        </row>
        <row r="1893">
          <cell r="B1893">
            <v>35454</v>
          </cell>
          <cell r="C1893">
            <v>1031.51</v>
          </cell>
        </row>
        <row r="1894">
          <cell r="B1894">
            <v>35455</v>
          </cell>
          <cell r="C1894">
            <v>1032.6199999999999</v>
          </cell>
        </row>
        <row r="1895">
          <cell r="B1895">
            <v>35456</v>
          </cell>
          <cell r="C1895">
            <v>1032.6199999999999</v>
          </cell>
        </row>
        <row r="1896">
          <cell r="B1896">
            <v>35457</v>
          </cell>
          <cell r="C1896">
            <v>1032.6199999999999</v>
          </cell>
        </row>
        <row r="1897">
          <cell r="B1897">
            <v>35458</v>
          </cell>
          <cell r="C1897">
            <v>1040.07</v>
          </cell>
        </row>
        <row r="1898">
          <cell r="B1898">
            <v>35459</v>
          </cell>
          <cell r="C1898">
            <v>1057</v>
          </cell>
        </row>
        <row r="1899">
          <cell r="B1899">
            <v>35460</v>
          </cell>
          <cell r="C1899">
            <v>1057.82</v>
          </cell>
        </row>
        <row r="1900">
          <cell r="B1900">
            <v>35461</v>
          </cell>
          <cell r="C1900">
            <v>1070.97</v>
          </cell>
        </row>
        <row r="1901">
          <cell r="B1901">
            <v>35462</v>
          </cell>
          <cell r="C1901">
            <v>1064</v>
          </cell>
        </row>
        <row r="1902">
          <cell r="B1902">
            <v>35463</v>
          </cell>
          <cell r="C1902">
            <v>1064</v>
          </cell>
        </row>
        <row r="1903">
          <cell r="B1903">
            <v>35464</v>
          </cell>
          <cell r="C1903">
            <v>1064</v>
          </cell>
        </row>
        <row r="1904">
          <cell r="B1904">
            <v>35465</v>
          </cell>
          <cell r="C1904">
            <v>1065.98</v>
          </cell>
        </row>
        <row r="1905">
          <cell r="B1905">
            <v>35466</v>
          </cell>
          <cell r="C1905">
            <v>1076.25</v>
          </cell>
        </row>
        <row r="1906">
          <cell r="B1906">
            <v>35467</v>
          </cell>
          <cell r="C1906">
            <v>1071.8800000000001</v>
          </cell>
        </row>
        <row r="1907">
          <cell r="B1907">
            <v>35468</v>
          </cell>
          <cell r="C1907">
            <v>1070.08</v>
          </cell>
        </row>
        <row r="1908">
          <cell r="B1908">
            <v>35469</v>
          </cell>
          <cell r="C1908">
            <v>1066.44</v>
          </cell>
        </row>
        <row r="1909">
          <cell r="B1909">
            <v>35470</v>
          </cell>
          <cell r="C1909">
            <v>1066.44</v>
          </cell>
        </row>
        <row r="1910">
          <cell r="B1910">
            <v>35471</v>
          </cell>
          <cell r="C1910">
            <v>1066.44</v>
          </cell>
        </row>
        <row r="1911">
          <cell r="B1911">
            <v>35472</v>
          </cell>
          <cell r="C1911">
            <v>1074.25</v>
          </cell>
        </row>
        <row r="1912">
          <cell r="B1912">
            <v>35473</v>
          </cell>
          <cell r="C1912">
            <v>1075.17</v>
          </cell>
        </row>
        <row r="1913">
          <cell r="B1913">
            <v>35474</v>
          </cell>
          <cell r="C1913">
            <v>1075.51</v>
          </cell>
        </row>
        <row r="1914">
          <cell r="B1914">
            <v>35475</v>
          </cell>
          <cell r="C1914">
            <v>1073.3599999999999</v>
          </cell>
        </row>
        <row r="1915">
          <cell r="B1915">
            <v>35476</v>
          </cell>
          <cell r="C1915">
            <v>1075</v>
          </cell>
        </row>
        <row r="1916">
          <cell r="B1916">
            <v>35477</v>
          </cell>
          <cell r="C1916">
            <v>1075</v>
          </cell>
        </row>
        <row r="1917">
          <cell r="B1917">
            <v>35478</v>
          </cell>
          <cell r="C1917">
            <v>1075</v>
          </cell>
        </row>
        <row r="1918">
          <cell r="B1918">
            <v>35479</v>
          </cell>
          <cell r="C1918">
            <v>1076.04</v>
          </cell>
        </row>
        <row r="1919">
          <cell r="B1919">
            <v>35480</v>
          </cell>
          <cell r="C1919">
            <v>1075.1099999999999</v>
          </cell>
        </row>
        <row r="1920">
          <cell r="B1920">
            <v>35481</v>
          </cell>
          <cell r="C1920">
            <v>1074.5</v>
          </cell>
        </row>
        <row r="1921">
          <cell r="B1921">
            <v>35482</v>
          </cell>
          <cell r="C1921">
            <v>1074.0999999999999</v>
          </cell>
        </row>
        <row r="1922">
          <cell r="B1922">
            <v>35483</v>
          </cell>
          <cell r="C1922">
            <v>1073.42</v>
          </cell>
        </row>
        <row r="1923">
          <cell r="B1923">
            <v>35484</v>
          </cell>
          <cell r="C1923">
            <v>1073.42</v>
          </cell>
        </row>
        <row r="1924">
          <cell r="B1924">
            <v>35485</v>
          </cell>
          <cell r="C1924">
            <v>1073.42</v>
          </cell>
        </row>
        <row r="1925">
          <cell r="B1925">
            <v>35486</v>
          </cell>
          <cell r="C1925">
            <v>1078.23</v>
          </cell>
        </row>
        <row r="1926">
          <cell r="B1926">
            <v>35487</v>
          </cell>
          <cell r="C1926">
            <v>1084.0899999999999</v>
          </cell>
        </row>
        <row r="1927">
          <cell r="B1927">
            <v>35488</v>
          </cell>
          <cell r="C1927">
            <v>1080.93</v>
          </cell>
        </row>
        <row r="1928">
          <cell r="B1928">
            <v>35489</v>
          </cell>
          <cell r="C1928">
            <v>1080.51</v>
          </cell>
        </row>
        <row r="1929">
          <cell r="B1929">
            <v>35490</v>
          </cell>
          <cell r="C1929">
            <v>1077.07</v>
          </cell>
        </row>
        <row r="1930">
          <cell r="B1930">
            <v>35491</v>
          </cell>
          <cell r="C1930">
            <v>1077.07</v>
          </cell>
        </row>
        <row r="1931">
          <cell r="B1931">
            <v>35492</v>
          </cell>
          <cell r="C1931">
            <v>1077.07</v>
          </cell>
        </row>
        <row r="1932">
          <cell r="B1932">
            <v>35493</v>
          </cell>
          <cell r="C1932">
            <v>1075.8599999999999</v>
          </cell>
        </row>
        <row r="1933">
          <cell r="B1933">
            <v>35494</v>
          </cell>
          <cell r="C1933">
            <v>1067.77</v>
          </cell>
        </row>
        <row r="1934">
          <cell r="B1934">
            <v>35495</v>
          </cell>
          <cell r="C1934">
            <v>1063.44</v>
          </cell>
        </row>
        <row r="1935">
          <cell r="B1935">
            <v>35496</v>
          </cell>
          <cell r="C1935">
            <v>1057.58</v>
          </cell>
        </row>
        <row r="1936">
          <cell r="B1936">
            <v>35497</v>
          </cell>
          <cell r="C1936">
            <v>1054.05</v>
          </cell>
        </row>
        <row r="1937">
          <cell r="B1937">
            <v>35498</v>
          </cell>
          <cell r="C1937">
            <v>1054.05</v>
          </cell>
        </row>
        <row r="1938">
          <cell r="B1938">
            <v>35499</v>
          </cell>
          <cell r="C1938">
            <v>1054.05</v>
          </cell>
        </row>
        <row r="1939">
          <cell r="B1939">
            <v>35500</v>
          </cell>
          <cell r="C1939">
            <v>1056.92</v>
          </cell>
        </row>
        <row r="1940">
          <cell r="B1940">
            <v>35501</v>
          </cell>
          <cell r="C1940">
            <v>1062.73</v>
          </cell>
        </row>
        <row r="1941">
          <cell r="B1941">
            <v>35502</v>
          </cell>
          <cell r="C1941">
            <v>1063.33</v>
          </cell>
        </row>
        <row r="1942">
          <cell r="B1942">
            <v>35503</v>
          </cell>
          <cell r="C1942">
            <v>1060.3499999999999</v>
          </cell>
        </row>
        <row r="1943">
          <cell r="B1943">
            <v>35504</v>
          </cell>
          <cell r="C1943">
            <v>1060.8599999999999</v>
          </cell>
        </row>
        <row r="1944">
          <cell r="B1944">
            <v>35505</v>
          </cell>
          <cell r="C1944">
            <v>1060.8599999999999</v>
          </cell>
        </row>
        <row r="1945">
          <cell r="B1945">
            <v>35506</v>
          </cell>
          <cell r="C1945">
            <v>1060.8599999999999</v>
          </cell>
        </row>
        <row r="1946">
          <cell r="B1946">
            <v>35507</v>
          </cell>
          <cell r="C1946">
            <v>1059.8699999999999</v>
          </cell>
        </row>
        <row r="1947">
          <cell r="B1947">
            <v>35508</v>
          </cell>
          <cell r="C1947">
            <v>1058.6099999999999</v>
          </cell>
        </row>
        <row r="1948">
          <cell r="B1948">
            <v>35509</v>
          </cell>
          <cell r="C1948">
            <v>1060.31</v>
          </cell>
        </row>
        <row r="1949">
          <cell r="B1949">
            <v>35510</v>
          </cell>
          <cell r="C1949">
            <v>1060.6600000000001</v>
          </cell>
        </row>
        <row r="1950">
          <cell r="B1950">
            <v>35511</v>
          </cell>
          <cell r="C1950">
            <v>1060.03</v>
          </cell>
        </row>
        <row r="1951">
          <cell r="B1951">
            <v>35512</v>
          </cell>
          <cell r="C1951">
            <v>1060.03</v>
          </cell>
        </row>
        <row r="1952">
          <cell r="B1952">
            <v>35513</v>
          </cell>
          <cell r="C1952">
            <v>1060.03</v>
          </cell>
        </row>
        <row r="1953">
          <cell r="B1953">
            <v>35514</v>
          </cell>
          <cell r="C1953">
            <v>1060.03</v>
          </cell>
        </row>
        <row r="1954">
          <cell r="B1954">
            <v>35515</v>
          </cell>
          <cell r="C1954">
            <v>1059.53</v>
          </cell>
        </row>
        <row r="1955">
          <cell r="B1955">
            <v>35516</v>
          </cell>
          <cell r="C1955">
            <v>1059.8800000000001</v>
          </cell>
        </row>
        <row r="1956">
          <cell r="B1956">
            <v>35517</v>
          </cell>
          <cell r="C1956">
            <v>1059.8800000000001</v>
          </cell>
        </row>
        <row r="1957">
          <cell r="B1957">
            <v>35518</v>
          </cell>
          <cell r="C1957">
            <v>1059.8800000000001</v>
          </cell>
        </row>
        <row r="1958">
          <cell r="B1958">
            <v>35519</v>
          </cell>
          <cell r="C1958">
            <v>1059.8800000000001</v>
          </cell>
        </row>
        <row r="1959">
          <cell r="B1959">
            <v>35520</v>
          </cell>
          <cell r="C1959">
            <v>1059.8800000000001</v>
          </cell>
        </row>
        <row r="1960">
          <cell r="B1960">
            <v>35521</v>
          </cell>
          <cell r="C1960">
            <v>1060.93</v>
          </cell>
        </row>
        <row r="1961">
          <cell r="B1961">
            <v>35522</v>
          </cell>
          <cell r="C1961">
            <v>1061.98</v>
          </cell>
        </row>
        <row r="1962">
          <cell r="B1962">
            <v>35523</v>
          </cell>
          <cell r="C1962">
            <v>1061.95</v>
          </cell>
        </row>
        <row r="1963">
          <cell r="B1963">
            <v>35524</v>
          </cell>
          <cell r="C1963">
            <v>1062.46</v>
          </cell>
        </row>
        <row r="1964">
          <cell r="B1964">
            <v>35525</v>
          </cell>
          <cell r="C1964">
            <v>1062.58</v>
          </cell>
        </row>
        <row r="1965">
          <cell r="B1965">
            <v>35526</v>
          </cell>
          <cell r="C1965">
            <v>1062.58</v>
          </cell>
        </row>
        <row r="1966">
          <cell r="B1966">
            <v>35527</v>
          </cell>
          <cell r="C1966">
            <v>1062.58</v>
          </cell>
        </row>
        <row r="1967">
          <cell r="B1967">
            <v>35528</v>
          </cell>
          <cell r="C1967">
            <v>1063.3</v>
          </cell>
        </row>
        <row r="1968">
          <cell r="B1968">
            <v>35529</v>
          </cell>
          <cell r="C1968">
            <v>1062.67</v>
          </cell>
        </row>
        <row r="1969">
          <cell r="B1969">
            <v>35530</v>
          </cell>
          <cell r="C1969">
            <v>1062.78</v>
          </cell>
        </row>
        <row r="1970">
          <cell r="B1970">
            <v>35531</v>
          </cell>
          <cell r="C1970">
            <v>1060.71</v>
          </cell>
        </row>
        <row r="1971">
          <cell r="B1971">
            <v>35532</v>
          </cell>
          <cell r="C1971">
            <v>1058.76</v>
          </cell>
        </row>
        <row r="1972">
          <cell r="B1972">
            <v>35533</v>
          </cell>
          <cell r="C1972">
            <v>1058.76</v>
          </cell>
        </row>
        <row r="1973">
          <cell r="B1973">
            <v>35534</v>
          </cell>
          <cell r="C1973">
            <v>1058.76</v>
          </cell>
        </row>
        <row r="1974">
          <cell r="B1974">
            <v>35535</v>
          </cell>
          <cell r="C1974">
            <v>1058.73</v>
          </cell>
        </row>
        <row r="1975">
          <cell r="B1975">
            <v>35536</v>
          </cell>
          <cell r="C1975">
            <v>1058.97</v>
          </cell>
        </row>
        <row r="1976">
          <cell r="B1976">
            <v>35537</v>
          </cell>
          <cell r="C1976">
            <v>1056.9100000000001</v>
          </cell>
        </row>
        <row r="1977">
          <cell r="B1977">
            <v>35538</v>
          </cell>
          <cell r="C1977">
            <v>1054.3499999999999</v>
          </cell>
        </row>
        <row r="1978">
          <cell r="B1978">
            <v>35539</v>
          </cell>
          <cell r="C1978">
            <v>1051.43</v>
          </cell>
        </row>
        <row r="1979">
          <cell r="B1979">
            <v>35540</v>
          </cell>
          <cell r="C1979">
            <v>1051.43</v>
          </cell>
        </row>
        <row r="1980">
          <cell r="B1980">
            <v>35541</v>
          </cell>
          <cell r="C1980">
            <v>1051.43</v>
          </cell>
        </row>
        <row r="1981">
          <cell r="B1981">
            <v>35542</v>
          </cell>
          <cell r="C1981">
            <v>1054.94</v>
          </cell>
        </row>
        <row r="1982">
          <cell r="B1982">
            <v>35543</v>
          </cell>
          <cell r="C1982">
            <v>1057.6400000000001</v>
          </cell>
        </row>
        <row r="1983">
          <cell r="B1983">
            <v>35544</v>
          </cell>
          <cell r="C1983">
            <v>1065.48</v>
          </cell>
        </row>
        <row r="1984">
          <cell r="B1984">
            <v>35545</v>
          </cell>
          <cell r="C1984">
            <v>1066.77</v>
          </cell>
        </row>
        <row r="1985">
          <cell r="B1985">
            <v>35546</v>
          </cell>
          <cell r="C1985">
            <v>1063.83</v>
          </cell>
        </row>
        <row r="1986">
          <cell r="B1986">
            <v>35547</v>
          </cell>
          <cell r="C1986">
            <v>1063.83</v>
          </cell>
        </row>
        <row r="1987">
          <cell r="B1987">
            <v>35548</v>
          </cell>
          <cell r="C1987">
            <v>1063.83</v>
          </cell>
        </row>
        <row r="1988">
          <cell r="B1988">
            <v>35549</v>
          </cell>
          <cell r="C1988">
            <v>1064</v>
          </cell>
        </row>
        <row r="1989">
          <cell r="B1989">
            <v>35550</v>
          </cell>
          <cell r="C1989">
            <v>1063.1099999999999</v>
          </cell>
        </row>
        <row r="1990">
          <cell r="B1990">
            <v>35551</v>
          </cell>
          <cell r="C1990">
            <v>1064.01</v>
          </cell>
        </row>
        <row r="1991">
          <cell r="B1991">
            <v>35552</v>
          </cell>
          <cell r="C1991">
            <v>1064.01</v>
          </cell>
        </row>
        <row r="1992">
          <cell r="B1992">
            <v>35553</v>
          </cell>
          <cell r="C1992">
            <v>1068.53</v>
          </cell>
        </row>
        <row r="1993">
          <cell r="B1993">
            <v>35554</v>
          </cell>
          <cell r="C1993">
            <v>1068.53</v>
          </cell>
        </row>
        <row r="1994">
          <cell r="B1994">
            <v>35555</v>
          </cell>
          <cell r="C1994">
            <v>1068.53</v>
          </cell>
        </row>
        <row r="1995">
          <cell r="B1995">
            <v>35556</v>
          </cell>
          <cell r="C1995">
            <v>1076.3900000000001</v>
          </cell>
        </row>
        <row r="1996">
          <cell r="B1996">
            <v>35557</v>
          </cell>
          <cell r="C1996">
            <v>1080.48</v>
          </cell>
        </row>
        <row r="1997">
          <cell r="B1997">
            <v>35558</v>
          </cell>
          <cell r="C1997">
            <v>1075.05</v>
          </cell>
        </row>
        <row r="1998">
          <cell r="B1998">
            <v>35559</v>
          </cell>
          <cell r="C1998">
            <v>1073.77</v>
          </cell>
        </row>
        <row r="1999">
          <cell r="B1999">
            <v>35560</v>
          </cell>
          <cell r="C1999">
            <v>1076.93</v>
          </cell>
        </row>
        <row r="2000">
          <cell r="B2000">
            <v>35561</v>
          </cell>
          <cell r="C2000">
            <v>1076.93</v>
          </cell>
        </row>
        <row r="2001">
          <cell r="B2001">
            <v>35562</v>
          </cell>
          <cell r="C2001">
            <v>1076.93</v>
          </cell>
        </row>
        <row r="2002">
          <cell r="B2002">
            <v>35563</v>
          </cell>
          <cell r="C2002">
            <v>1076.93</v>
          </cell>
        </row>
        <row r="2003">
          <cell r="B2003">
            <v>35564</v>
          </cell>
          <cell r="C2003">
            <v>1077.3599999999999</v>
          </cell>
        </row>
        <row r="2004">
          <cell r="B2004">
            <v>35565</v>
          </cell>
          <cell r="C2004">
            <v>1074.43</v>
          </cell>
        </row>
        <row r="2005">
          <cell r="B2005">
            <v>35566</v>
          </cell>
          <cell r="C2005">
            <v>1074.52</v>
          </cell>
        </row>
        <row r="2006">
          <cell r="B2006">
            <v>35567</v>
          </cell>
          <cell r="C2006">
            <v>1072.24</v>
          </cell>
        </row>
        <row r="2007">
          <cell r="B2007">
            <v>35568</v>
          </cell>
          <cell r="C2007">
            <v>1072.24</v>
          </cell>
        </row>
        <row r="2008">
          <cell r="B2008">
            <v>35569</v>
          </cell>
          <cell r="C2008">
            <v>1072.24</v>
          </cell>
        </row>
        <row r="2009">
          <cell r="B2009">
            <v>35570</v>
          </cell>
          <cell r="C2009">
            <v>1073.54</v>
          </cell>
        </row>
        <row r="2010">
          <cell r="B2010">
            <v>35571</v>
          </cell>
          <cell r="C2010">
            <v>1075.2</v>
          </cell>
        </row>
        <row r="2011">
          <cell r="B2011">
            <v>35572</v>
          </cell>
          <cell r="C2011">
            <v>1080.44</v>
          </cell>
        </row>
        <row r="2012">
          <cell r="B2012">
            <v>35573</v>
          </cell>
          <cell r="C2012">
            <v>1080.43</v>
          </cell>
        </row>
        <row r="2013">
          <cell r="B2013">
            <v>35574</v>
          </cell>
          <cell r="C2013">
            <v>1076.69</v>
          </cell>
        </row>
        <row r="2014">
          <cell r="B2014">
            <v>35575</v>
          </cell>
          <cell r="C2014">
            <v>1076.69</v>
          </cell>
        </row>
        <row r="2015">
          <cell r="B2015">
            <v>35576</v>
          </cell>
          <cell r="C2015">
            <v>1076.69</v>
          </cell>
        </row>
        <row r="2016">
          <cell r="B2016">
            <v>35577</v>
          </cell>
          <cell r="C2016">
            <v>1076.69</v>
          </cell>
        </row>
        <row r="2017">
          <cell r="B2017">
            <v>35578</v>
          </cell>
          <cell r="C2017">
            <v>1076.24</v>
          </cell>
        </row>
        <row r="2018">
          <cell r="B2018">
            <v>35579</v>
          </cell>
          <cell r="C2018">
            <v>1074.32</v>
          </cell>
        </row>
        <row r="2019">
          <cell r="B2019">
            <v>35580</v>
          </cell>
          <cell r="C2019">
            <v>1076.4000000000001</v>
          </cell>
        </row>
        <row r="2020">
          <cell r="B2020">
            <v>35581</v>
          </cell>
          <cell r="C2020">
            <v>1077.0899999999999</v>
          </cell>
        </row>
        <row r="2021">
          <cell r="B2021">
            <v>35582</v>
          </cell>
          <cell r="C2021">
            <v>1077.0899999999999</v>
          </cell>
        </row>
        <row r="2022">
          <cell r="B2022">
            <v>35583</v>
          </cell>
          <cell r="C2022">
            <v>1077.0899999999999</v>
          </cell>
        </row>
        <row r="2023">
          <cell r="B2023">
            <v>35584</v>
          </cell>
          <cell r="C2023">
            <v>1077.0899999999999</v>
          </cell>
        </row>
        <row r="2024">
          <cell r="B2024">
            <v>35585</v>
          </cell>
          <cell r="C2024">
            <v>1079.0999999999999</v>
          </cell>
        </row>
        <row r="2025">
          <cell r="B2025">
            <v>35586</v>
          </cell>
          <cell r="C2025">
            <v>1077.19</v>
          </cell>
        </row>
        <row r="2026">
          <cell r="B2026">
            <v>35587</v>
          </cell>
          <cell r="C2026">
            <v>1076.49</v>
          </cell>
        </row>
        <row r="2027">
          <cell r="B2027">
            <v>35588</v>
          </cell>
          <cell r="C2027">
            <v>1076.18</v>
          </cell>
        </row>
        <row r="2028">
          <cell r="B2028">
            <v>35589</v>
          </cell>
          <cell r="C2028">
            <v>1076.18</v>
          </cell>
        </row>
        <row r="2029">
          <cell r="B2029">
            <v>35590</v>
          </cell>
          <cell r="C2029">
            <v>1076.18</v>
          </cell>
        </row>
        <row r="2030">
          <cell r="B2030">
            <v>35591</v>
          </cell>
          <cell r="C2030">
            <v>1076.18</v>
          </cell>
        </row>
        <row r="2031">
          <cell r="B2031">
            <v>35592</v>
          </cell>
          <cell r="C2031">
            <v>1078.6400000000001</v>
          </cell>
        </row>
        <row r="2032">
          <cell r="B2032">
            <v>35593</v>
          </cell>
          <cell r="C2032">
            <v>1080.6099999999999</v>
          </cell>
        </row>
        <row r="2033">
          <cell r="B2033">
            <v>35594</v>
          </cell>
          <cell r="C2033">
            <v>1080.46</v>
          </cell>
        </row>
        <row r="2034">
          <cell r="B2034">
            <v>35595</v>
          </cell>
          <cell r="C2034">
            <v>1080.5899999999999</v>
          </cell>
        </row>
        <row r="2035">
          <cell r="B2035">
            <v>35596</v>
          </cell>
          <cell r="C2035">
            <v>1080.5899999999999</v>
          </cell>
        </row>
        <row r="2036">
          <cell r="B2036">
            <v>35597</v>
          </cell>
          <cell r="C2036">
            <v>1080.5899999999999</v>
          </cell>
        </row>
        <row r="2037">
          <cell r="B2037">
            <v>35598</v>
          </cell>
          <cell r="C2037">
            <v>1082.43</v>
          </cell>
        </row>
        <row r="2038">
          <cell r="B2038">
            <v>35599</v>
          </cell>
          <cell r="C2038">
            <v>1086</v>
          </cell>
        </row>
        <row r="2039">
          <cell r="B2039">
            <v>35600</v>
          </cell>
          <cell r="C2039">
            <v>1084.3800000000001</v>
          </cell>
        </row>
        <row r="2040">
          <cell r="B2040">
            <v>35601</v>
          </cell>
          <cell r="C2040">
            <v>1084.28</v>
          </cell>
        </row>
        <row r="2041">
          <cell r="B2041">
            <v>35602</v>
          </cell>
          <cell r="C2041">
            <v>1086.3599999999999</v>
          </cell>
        </row>
        <row r="2042">
          <cell r="B2042">
            <v>35603</v>
          </cell>
          <cell r="C2042">
            <v>1086.3599999999999</v>
          </cell>
        </row>
        <row r="2043">
          <cell r="B2043">
            <v>35604</v>
          </cell>
          <cell r="C2043">
            <v>1086.3599999999999</v>
          </cell>
        </row>
        <row r="2044">
          <cell r="B2044">
            <v>35605</v>
          </cell>
          <cell r="C2044">
            <v>1088.1600000000001</v>
          </cell>
        </row>
        <row r="2045">
          <cell r="B2045">
            <v>35606</v>
          </cell>
          <cell r="C2045">
            <v>1086.47</v>
          </cell>
        </row>
        <row r="2046">
          <cell r="B2046">
            <v>35607</v>
          </cell>
          <cell r="C2046">
            <v>1087.72</v>
          </cell>
        </row>
        <row r="2047">
          <cell r="B2047">
            <v>35608</v>
          </cell>
          <cell r="C2047">
            <v>1090.58</v>
          </cell>
        </row>
        <row r="2048">
          <cell r="B2048">
            <v>35609</v>
          </cell>
          <cell r="C2048">
            <v>1089.01</v>
          </cell>
        </row>
        <row r="2049">
          <cell r="B2049">
            <v>35610</v>
          </cell>
          <cell r="C2049">
            <v>1089.01</v>
          </cell>
        </row>
        <row r="2050">
          <cell r="B2050">
            <v>35611</v>
          </cell>
          <cell r="C2050">
            <v>1089.01</v>
          </cell>
        </row>
        <row r="2051">
          <cell r="B2051">
            <v>35612</v>
          </cell>
          <cell r="C2051">
            <v>1089.01</v>
          </cell>
        </row>
        <row r="2052">
          <cell r="B2052">
            <v>35613</v>
          </cell>
          <cell r="C2052">
            <v>1093.25</v>
          </cell>
        </row>
        <row r="2053">
          <cell r="B2053">
            <v>35614</v>
          </cell>
          <cell r="C2053">
            <v>1098.72</v>
          </cell>
        </row>
        <row r="2054">
          <cell r="B2054">
            <v>35615</v>
          </cell>
          <cell r="C2054">
            <v>1102.8399999999999</v>
          </cell>
        </row>
        <row r="2055">
          <cell r="B2055">
            <v>35616</v>
          </cell>
          <cell r="C2055">
            <v>1101.57</v>
          </cell>
        </row>
        <row r="2056">
          <cell r="B2056">
            <v>35617</v>
          </cell>
          <cell r="C2056">
            <v>1101.57</v>
          </cell>
        </row>
        <row r="2057">
          <cell r="B2057">
            <v>35618</v>
          </cell>
          <cell r="C2057">
            <v>1101.57</v>
          </cell>
        </row>
        <row r="2058">
          <cell r="B2058">
            <v>35619</v>
          </cell>
          <cell r="C2058">
            <v>1102.45</v>
          </cell>
        </row>
        <row r="2059">
          <cell r="B2059">
            <v>35620</v>
          </cell>
          <cell r="C2059">
            <v>1101.18</v>
          </cell>
        </row>
        <row r="2060">
          <cell r="B2060">
            <v>35621</v>
          </cell>
          <cell r="C2060">
            <v>1098.6400000000001</v>
          </cell>
        </row>
        <row r="2061">
          <cell r="B2061">
            <v>35622</v>
          </cell>
          <cell r="C2061">
            <v>1097.8800000000001</v>
          </cell>
        </row>
        <row r="2062">
          <cell r="B2062">
            <v>35623</v>
          </cell>
          <cell r="C2062">
            <v>1098.46</v>
          </cell>
        </row>
        <row r="2063">
          <cell r="B2063">
            <v>35624</v>
          </cell>
          <cell r="C2063">
            <v>1098.46</v>
          </cell>
        </row>
        <row r="2064">
          <cell r="B2064">
            <v>35625</v>
          </cell>
          <cell r="C2064">
            <v>1098.46</v>
          </cell>
        </row>
        <row r="2065">
          <cell r="B2065">
            <v>35626</v>
          </cell>
          <cell r="C2065">
            <v>1099.56</v>
          </cell>
        </row>
        <row r="2066">
          <cell r="B2066">
            <v>35627</v>
          </cell>
          <cell r="C2066">
            <v>1099.25</v>
          </cell>
        </row>
        <row r="2067">
          <cell r="B2067">
            <v>35628</v>
          </cell>
          <cell r="C2067">
            <v>1100.83</v>
          </cell>
        </row>
        <row r="2068">
          <cell r="B2068">
            <v>35629</v>
          </cell>
          <cell r="C2068">
            <v>1102.48</v>
          </cell>
        </row>
        <row r="2069">
          <cell r="B2069">
            <v>35630</v>
          </cell>
          <cell r="C2069">
            <v>1105.33</v>
          </cell>
        </row>
        <row r="2070">
          <cell r="B2070">
            <v>35631</v>
          </cell>
          <cell r="C2070">
            <v>1105.33</v>
          </cell>
        </row>
        <row r="2071">
          <cell r="B2071">
            <v>35632</v>
          </cell>
          <cell r="C2071">
            <v>1105.33</v>
          </cell>
        </row>
        <row r="2072">
          <cell r="B2072">
            <v>35633</v>
          </cell>
          <cell r="C2072">
            <v>1109.46</v>
          </cell>
        </row>
        <row r="2073">
          <cell r="B2073">
            <v>35634</v>
          </cell>
          <cell r="C2073">
            <v>1110.32</v>
          </cell>
        </row>
        <row r="2074">
          <cell r="B2074">
            <v>35635</v>
          </cell>
          <cell r="C2074">
            <v>1106.7</v>
          </cell>
        </row>
        <row r="2075">
          <cell r="B2075">
            <v>35636</v>
          </cell>
          <cell r="C2075">
            <v>1106.6400000000001</v>
          </cell>
        </row>
        <row r="2076">
          <cell r="B2076">
            <v>35637</v>
          </cell>
          <cell r="C2076">
            <v>1106.06</v>
          </cell>
        </row>
        <row r="2077">
          <cell r="B2077">
            <v>35638</v>
          </cell>
          <cell r="C2077">
            <v>1106.06</v>
          </cell>
        </row>
        <row r="2078">
          <cell r="B2078">
            <v>35639</v>
          </cell>
          <cell r="C2078">
            <v>1106.06</v>
          </cell>
        </row>
        <row r="2079">
          <cell r="B2079">
            <v>35640</v>
          </cell>
          <cell r="C2079">
            <v>1108.1600000000001</v>
          </cell>
        </row>
        <row r="2080">
          <cell r="B2080">
            <v>35641</v>
          </cell>
          <cell r="C2080">
            <v>1106.67</v>
          </cell>
        </row>
        <row r="2081">
          <cell r="B2081">
            <v>35642</v>
          </cell>
          <cell r="C2081">
            <v>1109.6500000000001</v>
          </cell>
        </row>
        <row r="2082">
          <cell r="B2082">
            <v>35643</v>
          </cell>
          <cell r="C2082">
            <v>1112.53</v>
          </cell>
        </row>
        <row r="2083">
          <cell r="B2083">
            <v>35644</v>
          </cell>
          <cell r="C2083">
            <v>1113.43</v>
          </cell>
        </row>
        <row r="2084">
          <cell r="B2084">
            <v>35645</v>
          </cell>
          <cell r="C2084">
            <v>1113.43</v>
          </cell>
        </row>
        <row r="2085">
          <cell r="B2085">
            <v>35646</v>
          </cell>
          <cell r="C2085">
            <v>1113.43</v>
          </cell>
        </row>
        <row r="2086">
          <cell r="B2086">
            <v>35647</v>
          </cell>
          <cell r="C2086">
            <v>1112.83</v>
          </cell>
        </row>
        <row r="2087">
          <cell r="B2087">
            <v>35648</v>
          </cell>
          <cell r="C2087">
            <v>1115.43</v>
          </cell>
        </row>
        <row r="2088">
          <cell r="B2088">
            <v>35649</v>
          </cell>
          <cell r="C2088">
            <v>1115.2</v>
          </cell>
        </row>
        <row r="2089">
          <cell r="B2089">
            <v>35650</v>
          </cell>
          <cell r="C2089">
            <v>1115.2</v>
          </cell>
        </row>
        <row r="2090">
          <cell r="B2090">
            <v>35651</v>
          </cell>
          <cell r="C2090">
            <v>1118.96</v>
          </cell>
        </row>
        <row r="2091">
          <cell r="B2091">
            <v>35652</v>
          </cell>
          <cell r="C2091">
            <v>1118.96</v>
          </cell>
        </row>
        <row r="2092">
          <cell r="B2092">
            <v>35653</v>
          </cell>
          <cell r="C2092">
            <v>1118.96</v>
          </cell>
        </row>
        <row r="2093">
          <cell r="B2093">
            <v>35654</v>
          </cell>
          <cell r="C2093">
            <v>1119.3800000000001</v>
          </cell>
        </row>
        <row r="2094">
          <cell r="B2094">
            <v>35655</v>
          </cell>
          <cell r="C2094">
            <v>1120.33</v>
          </cell>
        </row>
        <row r="2095">
          <cell r="B2095">
            <v>35656</v>
          </cell>
          <cell r="C2095">
            <v>1125.6199999999999</v>
          </cell>
        </row>
        <row r="2096">
          <cell r="B2096">
            <v>35657</v>
          </cell>
          <cell r="C2096">
            <v>1128.25</v>
          </cell>
        </row>
        <row r="2097">
          <cell r="B2097">
            <v>35658</v>
          </cell>
          <cell r="C2097">
            <v>1129.05</v>
          </cell>
        </row>
        <row r="2098">
          <cell r="B2098">
            <v>35659</v>
          </cell>
          <cell r="C2098">
            <v>1129.05</v>
          </cell>
        </row>
        <row r="2099">
          <cell r="B2099">
            <v>35660</v>
          </cell>
          <cell r="C2099">
            <v>1129.05</v>
          </cell>
        </row>
        <row r="2100">
          <cell r="B2100">
            <v>35661</v>
          </cell>
          <cell r="C2100">
            <v>1129.05</v>
          </cell>
        </row>
        <row r="2101">
          <cell r="B2101">
            <v>35662</v>
          </cell>
          <cell r="C2101">
            <v>1137.54</v>
          </cell>
        </row>
        <row r="2102">
          <cell r="B2102">
            <v>35663</v>
          </cell>
          <cell r="C2102">
            <v>1140.54</v>
          </cell>
        </row>
        <row r="2103">
          <cell r="B2103">
            <v>35664</v>
          </cell>
          <cell r="C2103">
            <v>1149.19</v>
          </cell>
        </row>
        <row r="2104">
          <cell r="B2104">
            <v>35665</v>
          </cell>
          <cell r="C2104">
            <v>1154.23</v>
          </cell>
        </row>
        <row r="2105">
          <cell r="B2105">
            <v>35666</v>
          </cell>
          <cell r="C2105">
            <v>1154.23</v>
          </cell>
        </row>
        <row r="2106">
          <cell r="B2106">
            <v>35667</v>
          </cell>
          <cell r="C2106">
            <v>1154.23</v>
          </cell>
        </row>
        <row r="2107">
          <cell r="B2107">
            <v>35668</v>
          </cell>
          <cell r="C2107">
            <v>1145.52</v>
          </cell>
        </row>
        <row r="2108">
          <cell r="B2108">
            <v>35669</v>
          </cell>
          <cell r="C2108">
            <v>1154.8900000000001</v>
          </cell>
        </row>
        <row r="2109">
          <cell r="B2109">
            <v>35670</v>
          </cell>
          <cell r="C2109">
            <v>1161.1500000000001</v>
          </cell>
        </row>
        <row r="2110">
          <cell r="B2110">
            <v>35671</v>
          </cell>
          <cell r="C2110">
            <v>1167.28</v>
          </cell>
        </row>
        <row r="2111">
          <cell r="B2111">
            <v>35672</v>
          </cell>
          <cell r="C2111">
            <v>1172.28</v>
          </cell>
        </row>
        <row r="2112">
          <cell r="B2112">
            <v>35673</v>
          </cell>
          <cell r="C2112">
            <v>1172.28</v>
          </cell>
        </row>
        <row r="2113">
          <cell r="B2113">
            <v>35674</v>
          </cell>
          <cell r="C2113">
            <v>1172.28</v>
          </cell>
        </row>
        <row r="2114">
          <cell r="B2114">
            <v>35675</v>
          </cell>
          <cell r="C2114">
            <v>1174.01</v>
          </cell>
        </row>
        <row r="2115">
          <cell r="B2115">
            <v>35676</v>
          </cell>
          <cell r="C2115">
            <v>1169.3800000000001</v>
          </cell>
        </row>
        <row r="2116">
          <cell r="B2116">
            <v>35677</v>
          </cell>
          <cell r="C2116">
            <v>1172.82</v>
          </cell>
        </row>
        <row r="2117">
          <cell r="B2117">
            <v>35678</v>
          </cell>
          <cell r="C2117">
            <v>1180.94</v>
          </cell>
        </row>
        <row r="2118">
          <cell r="B2118">
            <v>35679</v>
          </cell>
          <cell r="C2118">
            <v>1186.98</v>
          </cell>
        </row>
        <row r="2119">
          <cell r="B2119">
            <v>35680</v>
          </cell>
          <cell r="C2119">
            <v>1186.98</v>
          </cell>
        </row>
        <row r="2120">
          <cell r="B2120">
            <v>35681</v>
          </cell>
          <cell r="C2120">
            <v>1186.98</v>
          </cell>
        </row>
        <row r="2121">
          <cell r="B2121">
            <v>35682</v>
          </cell>
          <cell r="C2121">
            <v>1204.0899999999999</v>
          </cell>
        </row>
        <row r="2122">
          <cell r="B2122">
            <v>35683</v>
          </cell>
          <cell r="C2122">
            <v>1238.21</v>
          </cell>
        </row>
        <row r="2123">
          <cell r="B2123">
            <v>35684</v>
          </cell>
          <cell r="C2123">
            <v>1250.03</v>
          </cell>
        </row>
        <row r="2124">
          <cell r="B2124">
            <v>35685</v>
          </cell>
          <cell r="C2124">
            <v>1232.1199999999999</v>
          </cell>
        </row>
        <row r="2125">
          <cell r="B2125">
            <v>35686</v>
          </cell>
          <cell r="C2125">
            <v>1228.01</v>
          </cell>
        </row>
        <row r="2126">
          <cell r="B2126">
            <v>35687</v>
          </cell>
          <cell r="C2126">
            <v>1228.01</v>
          </cell>
        </row>
        <row r="2127">
          <cell r="B2127">
            <v>35688</v>
          </cell>
          <cell r="C2127">
            <v>1228.01</v>
          </cell>
        </row>
        <row r="2128">
          <cell r="B2128">
            <v>35689</v>
          </cell>
          <cell r="C2128">
            <v>1245.06</v>
          </cell>
        </row>
        <row r="2129">
          <cell r="B2129">
            <v>35690</v>
          </cell>
          <cell r="C2129">
            <v>1243.58</v>
          </cell>
        </row>
        <row r="2130">
          <cell r="B2130">
            <v>35691</v>
          </cell>
          <cell r="C2130">
            <v>1241.83</v>
          </cell>
        </row>
        <row r="2131">
          <cell r="B2131">
            <v>35692</v>
          </cell>
          <cell r="C2131">
            <v>1236.31</v>
          </cell>
        </row>
        <row r="2132">
          <cell r="B2132">
            <v>35693</v>
          </cell>
          <cell r="C2132">
            <v>1238.29</v>
          </cell>
        </row>
        <row r="2133">
          <cell r="B2133">
            <v>35694</v>
          </cell>
          <cell r="C2133">
            <v>1238.29</v>
          </cell>
        </row>
        <row r="2134">
          <cell r="B2134">
            <v>35695</v>
          </cell>
          <cell r="C2134">
            <v>1238.29</v>
          </cell>
        </row>
        <row r="2135">
          <cell r="B2135">
            <v>35696</v>
          </cell>
          <cell r="C2135">
            <v>1242.45</v>
          </cell>
        </row>
        <row r="2136">
          <cell r="B2136">
            <v>35697</v>
          </cell>
          <cell r="C2136">
            <v>1248.83</v>
          </cell>
        </row>
        <row r="2137">
          <cell r="B2137">
            <v>35698</v>
          </cell>
          <cell r="C2137">
            <v>1251.8800000000001</v>
          </cell>
        </row>
        <row r="2138">
          <cell r="B2138">
            <v>35699</v>
          </cell>
          <cell r="C2138">
            <v>1249.73</v>
          </cell>
        </row>
        <row r="2139">
          <cell r="B2139">
            <v>35700</v>
          </cell>
          <cell r="C2139">
            <v>1241.72</v>
          </cell>
        </row>
        <row r="2140">
          <cell r="B2140">
            <v>35701</v>
          </cell>
          <cell r="C2140">
            <v>1241.72</v>
          </cell>
        </row>
        <row r="2141">
          <cell r="B2141">
            <v>35702</v>
          </cell>
          <cell r="C2141">
            <v>1241.72</v>
          </cell>
        </row>
        <row r="2142">
          <cell r="B2142">
            <v>35703</v>
          </cell>
          <cell r="C2142">
            <v>1246.27</v>
          </cell>
        </row>
        <row r="2143">
          <cell r="B2143">
            <v>35704</v>
          </cell>
          <cell r="C2143">
            <v>1244.6300000000001</v>
          </cell>
        </row>
        <row r="2144">
          <cell r="B2144">
            <v>35705</v>
          </cell>
          <cell r="C2144">
            <v>1243.27</v>
          </cell>
        </row>
        <row r="2145">
          <cell r="B2145">
            <v>35706</v>
          </cell>
          <cell r="C2145">
            <v>1242.1600000000001</v>
          </cell>
        </row>
        <row r="2146">
          <cell r="B2146">
            <v>35707</v>
          </cell>
          <cell r="C2146">
            <v>1244.8399999999999</v>
          </cell>
        </row>
        <row r="2147">
          <cell r="B2147">
            <v>35708</v>
          </cell>
          <cell r="C2147">
            <v>1244.8399999999999</v>
          </cell>
        </row>
        <row r="2148">
          <cell r="B2148">
            <v>35709</v>
          </cell>
          <cell r="C2148">
            <v>1244.8399999999999</v>
          </cell>
        </row>
        <row r="2149">
          <cell r="B2149">
            <v>35710</v>
          </cell>
          <cell r="C2149">
            <v>1250.95</v>
          </cell>
        </row>
        <row r="2150">
          <cell r="B2150">
            <v>35711</v>
          </cell>
          <cell r="C2150">
            <v>1247.51</v>
          </cell>
        </row>
        <row r="2151">
          <cell r="B2151">
            <v>35712</v>
          </cell>
          <cell r="C2151">
            <v>1252.74</v>
          </cell>
        </row>
        <row r="2152">
          <cell r="B2152">
            <v>35713</v>
          </cell>
          <cell r="C2152">
            <v>1258.04</v>
          </cell>
        </row>
        <row r="2153">
          <cell r="B2153">
            <v>35714</v>
          </cell>
          <cell r="C2153">
            <v>1265.3800000000001</v>
          </cell>
        </row>
        <row r="2154">
          <cell r="B2154">
            <v>35715</v>
          </cell>
          <cell r="C2154">
            <v>1265.3800000000001</v>
          </cell>
        </row>
        <row r="2155">
          <cell r="B2155">
            <v>35716</v>
          </cell>
          <cell r="C2155">
            <v>1265.3800000000001</v>
          </cell>
        </row>
        <row r="2156">
          <cell r="B2156">
            <v>35717</v>
          </cell>
          <cell r="C2156">
            <v>1265.3800000000001</v>
          </cell>
        </row>
        <row r="2157">
          <cell r="B2157">
            <v>35718</v>
          </cell>
          <cell r="C2157">
            <v>1272.77</v>
          </cell>
        </row>
        <row r="2158">
          <cell r="B2158">
            <v>35719</v>
          </cell>
          <cell r="C2158">
            <v>1263.79</v>
          </cell>
        </row>
        <row r="2159">
          <cell r="B2159">
            <v>35720</v>
          </cell>
          <cell r="C2159">
            <v>1268.8699999999999</v>
          </cell>
        </row>
        <row r="2160">
          <cell r="B2160">
            <v>35721</v>
          </cell>
          <cell r="C2160">
            <v>1264.7</v>
          </cell>
        </row>
        <row r="2161">
          <cell r="B2161">
            <v>35722</v>
          </cell>
          <cell r="C2161">
            <v>1264.7</v>
          </cell>
        </row>
        <row r="2162">
          <cell r="B2162">
            <v>35723</v>
          </cell>
          <cell r="C2162">
            <v>1264.7</v>
          </cell>
        </row>
        <row r="2163">
          <cell r="B2163">
            <v>35724</v>
          </cell>
          <cell r="C2163">
            <v>1264.5999999999999</v>
          </cell>
        </row>
        <row r="2164">
          <cell r="B2164">
            <v>35725</v>
          </cell>
          <cell r="C2164">
            <v>1264.32</v>
          </cell>
        </row>
        <row r="2165">
          <cell r="B2165">
            <v>35726</v>
          </cell>
          <cell r="C2165">
            <v>1267.8699999999999</v>
          </cell>
        </row>
        <row r="2166">
          <cell r="B2166">
            <v>35727</v>
          </cell>
          <cell r="C2166">
            <v>1267.0999999999999</v>
          </cell>
        </row>
        <row r="2167">
          <cell r="B2167">
            <v>35728</v>
          </cell>
          <cell r="C2167">
            <v>1272.02</v>
          </cell>
        </row>
        <row r="2168">
          <cell r="B2168">
            <v>35729</v>
          </cell>
          <cell r="C2168">
            <v>1272.02</v>
          </cell>
        </row>
        <row r="2169">
          <cell r="B2169">
            <v>35730</v>
          </cell>
          <cell r="C2169">
            <v>1272.02</v>
          </cell>
        </row>
        <row r="2170">
          <cell r="B2170">
            <v>35731</v>
          </cell>
          <cell r="C2170">
            <v>1274.05</v>
          </cell>
        </row>
        <row r="2171">
          <cell r="B2171">
            <v>35732</v>
          </cell>
          <cell r="C2171">
            <v>1289.8399999999999</v>
          </cell>
        </row>
        <row r="2172">
          <cell r="B2172">
            <v>35733</v>
          </cell>
          <cell r="C2172">
            <v>1282.82</v>
          </cell>
        </row>
        <row r="2173">
          <cell r="B2173">
            <v>35734</v>
          </cell>
          <cell r="C2173">
            <v>1281.2</v>
          </cell>
        </row>
        <row r="2174">
          <cell r="B2174">
            <v>35735</v>
          </cell>
          <cell r="C2174">
            <v>1284.6500000000001</v>
          </cell>
        </row>
        <row r="2175">
          <cell r="B2175">
            <v>35736</v>
          </cell>
          <cell r="C2175">
            <v>1284.6500000000001</v>
          </cell>
        </row>
        <row r="2176">
          <cell r="B2176">
            <v>35737</v>
          </cell>
          <cell r="C2176">
            <v>1284.6500000000001</v>
          </cell>
        </row>
        <row r="2177">
          <cell r="B2177">
            <v>35738</v>
          </cell>
          <cell r="C2177">
            <v>1284.6500000000001</v>
          </cell>
        </row>
        <row r="2178">
          <cell r="B2178">
            <v>35739</v>
          </cell>
          <cell r="C2178">
            <v>1284.6300000000001</v>
          </cell>
        </row>
        <row r="2179">
          <cell r="B2179">
            <v>35740</v>
          </cell>
          <cell r="C2179">
            <v>1281.18</v>
          </cell>
        </row>
        <row r="2180">
          <cell r="B2180">
            <v>35741</v>
          </cell>
          <cell r="C2180">
            <v>1286.73</v>
          </cell>
        </row>
        <row r="2181">
          <cell r="B2181">
            <v>35742</v>
          </cell>
          <cell r="C2181">
            <v>1291.3499999999999</v>
          </cell>
        </row>
        <row r="2182">
          <cell r="B2182">
            <v>35743</v>
          </cell>
          <cell r="C2182">
            <v>1291.3499999999999</v>
          </cell>
        </row>
        <row r="2183">
          <cell r="B2183">
            <v>35744</v>
          </cell>
          <cell r="C2183">
            <v>1291.3499999999999</v>
          </cell>
        </row>
        <row r="2184">
          <cell r="B2184">
            <v>35745</v>
          </cell>
          <cell r="C2184">
            <v>1295.52</v>
          </cell>
        </row>
        <row r="2185">
          <cell r="B2185">
            <v>35746</v>
          </cell>
          <cell r="C2185">
            <v>1294.51</v>
          </cell>
        </row>
        <row r="2186">
          <cell r="B2186">
            <v>35747</v>
          </cell>
          <cell r="C2186">
            <v>1296.6600000000001</v>
          </cell>
        </row>
        <row r="2187">
          <cell r="B2187">
            <v>35748</v>
          </cell>
          <cell r="C2187">
            <v>1297.8699999999999</v>
          </cell>
        </row>
        <row r="2188">
          <cell r="B2188">
            <v>35749</v>
          </cell>
          <cell r="C2188">
            <v>1298.04</v>
          </cell>
        </row>
        <row r="2189">
          <cell r="B2189">
            <v>35750</v>
          </cell>
          <cell r="C2189">
            <v>1298.04</v>
          </cell>
        </row>
        <row r="2190">
          <cell r="B2190">
            <v>35751</v>
          </cell>
          <cell r="C2190">
            <v>1298.04</v>
          </cell>
        </row>
        <row r="2191">
          <cell r="B2191">
            <v>35752</v>
          </cell>
          <cell r="C2191">
            <v>1298.04</v>
          </cell>
        </row>
        <row r="2192">
          <cell r="B2192">
            <v>35753</v>
          </cell>
          <cell r="C2192">
            <v>1297.94</v>
          </cell>
        </row>
        <row r="2193">
          <cell r="B2193">
            <v>35754</v>
          </cell>
          <cell r="C2193">
            <v>1296.6199999999999</v>
          </cell>
        </row>
        <row r="2194">
          <cell r="B2194">
            <v>35755</v>
          </cell>
          <cell r="C2194">
            <v>1298.19</v>
          </cell>
        </row>
        <row r="2195">
          <cell r="B2195">
            <v>35756</v>
          </cell>
          <cell r="C2195">
            <v>1296.3</v>
          </cell>
        </row>
        <row r="2196">
          <cell r="B2196">
            <v>35757</v>
          </cell>
          <cell r="C2196">
            <v>1296.3</v>
          </cell>
        </row>
        <row r="2197">
          <cell r="B2197">
            <v>35758</v>
          </cell>
          <cell r="C2197">
            <v>1296.3</v>
          </cell>
        </row>
        <row r="2198">
          <cell r="B2198">
            <v>35759</v>
          </cell>
          <cell r="C2198">
            <v>1296.3699999999999</v>
          </cell>
        </row>
        <row r="2199">
          <cell r="B2199">
            <v>35760</v>
          </cell>
          <cell r="C2199">
            <v>1299.19</v>
          </cell>
        </row>
        <row r="2200">
          <cell r="B2200">
            <v>35761</v>
          </cell>
          <cell r="C2200">
            <v>1303.1500000000001</v>
          </cell>
        </row>
        <row r="2201">
          <cell r="B2201">
            <v>35762</v>
          </cell>
          <cell r="C2201">
            <v>1303.0999999999999</v>
          </cell>
        </row>
        <row r="2202">
          <cell r="B2202">
            <v>35763</v>
          </cell>
          <cell r="C2202">
            <v>1305.6600000000001</v>
          </cell>
        </row>
        <row r="2203">
          <cell r="B2203">
            <v>35764</v>
          </cell>
          <cell r="C2203">
            <v>1305.6600000000001</v>
          </cell>
        </row>
        <row r="2204">
          <cell r="B2204">
            <v>35765</v>
          </cell>
          <cell r="C2204">
            <v>1305.6600000000001</v>
          </cell>
        </row>
        <row r="2205">
          <cell r="B2205">
            <v>35766</v>
          </cell>
          <cell r="C2205">
            <v>1307.54</v>
          </cell>
        </row>
        <row r="2206">
          <cell r="B2206">
            <v>35767</v>
          </cell>
          <cell r="C2206">
            <v>1307.01</v>
          </cell>
        </row>
        <row r="2207">
          <cell r="B2207">
            <v>35768</v>
          </cell>
          <cell r="C2207">
            <v>1299.43</v>
          </cell>
        </row>
        <row r="2208">
          <cell r="B2208">
            <v>35769</v>
          </cell>
          <cell r="C2208">
            <v>1298.6400000000001</v>
          </cell>
        </row>
        <row r="2209">
          <cell r="B2209">
            <v>35770</v>
          </cell>
          <cell r="C2209">
            <v>1300.55</v>
          </cell>
        </row>
        <row r="2210">
          <cell r="B2210">
            <v>35771</v>
          </cell>
          <cell r="C2210">
            <v>1300.55</v>
          </cell>
        </row>
        <row r="2211">
          <cell r="B2211">
            <v>35772</v>
          </cell>
          <cell r="C2211">
            <v>1300.55</v>
          </cell>
        </row>
        <row r="2212">
          <cell r="B2212">
            <v>35773</v>
          </cell>
          <cell r="C2212">
            <v>1300.55</v>
          </cell>
        </row>
        <row r="2213">
          <cell r="B2213">
            <v>35774</v>
          </cell>
          <cell r="C2213">
            <v>1298.78</v>
          </cell>
        </row>
        <row r="2214">
          <cell r="B2214">
            <v>35775</v>
          </cell>
          <cell r="C2214">
            <v>1301.1500000000001</v>
          </cell>
        </row>
        <row r="2215">
          <cell r="B2215">
            <v>35776</v>
          </cell>
          <cell r="C2215">
            <v>1304.8499999999999</v>
          </cell>
        </row>
        <row r="2216">
          <cell r="B2216">
            <v>35777</v>
          </cell>
          <cell r="C2216">
            <v>1307.42</v>
          </cell>
        </row>
        <row r="2217">
          <cell r="B2217">
            <v>35778</v>
          </cell>
          <cell r="C2217">
            <v>1307.42</v>
          </cell>
        </row>
        <row r="2218">
          <cell r="B2218">
            <v>35779</v>
          </cell>
          <cell r="C2218">
            <v>1307.42</v>
          </cell>
        </row>
        <row r="2219">
          <cell r="B2219">
            <v>35780</v>
          </cell>
          <cell r="C2219">
            <v>1304.02</v>
          </cell>
        </row>
        <row r="2220">
          <cell r="B2220">
            <v>35781</v>
          </cell>
          <cell r="C2220">
            <v>1296.3</v>
          </cell>
        </row>
        <row r="2221">
          <cell r="B2221">
            <v>35782</v>
          </cell>
          <cell r="C2221">
            <v>1286.74</v>
          </cell>
        </row>
        <row r="2222">
          <cell r="B2222">
            <v>35783</v>
          </cell>
          <cell r="C2222">
            <v>1286.1199999999999</v>
          </cell>
        </row>
        <row r="2223">
          <cell r="B2223">
            <v>35784</v>
          </cell>
          <cell r="C2223">
            <v>1287.51</v>
          </cell>
        </row>
        <row r="2224">
          <cell r="B2224">
            <v>35785</v>
          </cell>
          <cell r="C2224">
            <v>1287.51</v>
          </cell>
        </row>
        <row r="2225">
          <cell r="B2225">
            <v>35786</v>
          </cell>
          <cell r="C2225">
            <v>1287.51</v>
          </cell>
        </row>
        <row r="2226">
          <cell r="B2226">
            <v>35787</v>
          </cell>
          <cell r="C2226">
            <v>1288.32</v>
          </cell>
        </row>
        <row r="2227">
          <cell r="B2227">
            <v>35788</v>
          </cell>
          <cell r="C2227">
            <v>1281.5999999999999</v>
          </cell>
        </row>
        <row r="2228">
          <cell r="B2228">
            <v>35789</v>
          </cell>
          <cell r="C2228">
            <v>1281.5999999999999</v>
          </cell>
        </row>
        <row r="2229">
          <cell r="B2229">
            <v>35790</v>
          </cell>
          <cell r="C2229">
            <v>1281.5999999999999</v>
          </cell>
        </row>
        <row r="2230">
          <cell r="B2230">
            <v>35791</v>
          </cell>
          <cell r="C2230">
            <v>1286.92</v>
          </cell>
        </row>
        <row r="2231">
          <cell r="B2231">
            <v>35792</v>
          </cell>
          <cell r="C2231">
            <v>1286.92</v>
          </cell>
        </row>
        <row r="2232">
          <cell r="B2232">
            <v>35793</v>
          </cell>
          <cell r="C2232">
            <v>1286.92</v>
          </cell>
        </row>
        <row r="2233">
          <cell r="B2233">
            <v>35794</v>
          </cell>
          <cell r="C2233">
            <v>1291.92</v>
          </cell>
        </row>
        <row r="2234">
          <cell r="B2234">
            <v>35795</v>
          </cell>
          <cell r="C2234">
            <v>1293.58</v>
          </cell>
        </row>
        <row r="2235">
          <cell r="B2235">
            <v>35796</v>
          </cell>
          <cell r="C2235">
            <v>1293.58</v>
          </cell>
        </row>
        <row r="2236">
          <cell r="B2236">
            <v>35797</v>
          </cell>
          <cell r="C2236">
            <v>1293.58</v>
          </cell>
        </row>
        <row r="2237">
          <cell r="B2237">
            <v>35798</v>
          </cell>
          <cell r="C2237">
            <v>1304.33</v>
          </cell>
        </row>
        <row r="2238">
          <cell r="B2238">
            <v>35799</v>
          </cell>
          <cell r="C2238">
            <v>1304.33</v>
          </cell>
        </row>
        <row r="2239">
          <cell r="B2239">
            <v>35800</v>
          </cell>
          <cell r="C2239">
            <v>1304.33</v>
          </cell>
        </row>
        <row r="2240">
          <cell r="B2240">
            <v>35801</v>
          </cell>
          <cell r="C2240">
            <v>1317.15</v>
          </cell>
        </row>
        <row r="2241">
          <cell r="B2241">
            <v>35802</v>
          </cell>
          <cell r="C2241">
            <v>1318.57</v>
          </cell>
        </row>
        <row r="2242">
          <cell r="B2242">
            <v>35803</v>
          </cell>
          <cell r="C2242">
            <v>1315.95</v>
          </cell>
        </row>
        <row r="2243">
          <cell r="B2243">
            <v>35804</v>
          </cell>
          <cell r="C2243">
            <v>1313.56</v>
          </cell>
        </row>
        <row r="2244">
          <cell r="B2244">
            <v>35805</v>
          </cell>
          <cell r="C2244">
            <v>1315.7</v>
          </cell>
        </row>
        <row r="2245">
          <cell r="B2245">
            <v>35806</v>
          </cell>
          <cell r="C2245">
            <v>1315.7</v>
          </cell>
        </row>
        <row r="2246">
          <cell r="B2246">
            <v>35807</v>
          </cell>
          <cell r="C2246">
            <v>1315.7</v>
          </cell>
        </row>
        <row r="2247">
          <cell r="B2247">
            <v>35808</v>
          </cell>
          <cell r="C2247">
            <v>1315.7</v>
          </cell>
        </row>
        <row r="2248">
          <cell r="B2248">
            <v>35809</v>
          </cell>
          <cell r="C2248">
            <v>1318.25</v>
          </cell>
        </row>
        <row r="2249">
          <cell r="B2249">
            <v>35810</v>
          </cell>
          <cell r="C2249">
            <v>1318.53</v>
          </cell>
        </row>
        <row r="2250">
          <cell r="B2250">
            <v>35811</v>
          </cell>
          <cell r="C2250">
            <v>1319.21</v>
          </cell>
        </row>
        <row r="2251">
          <cell r="B2251">
            <v>35812</v>
          </cell>
          <cell r="C2251">
            <v>1322.16</v>
          </cell>
        </row>
        <row r="2252">
          <cell r="B2252">
            <v>35813</v>
          </cell>
          <cell r="C2252">
            <v>1322.16</v>
          </cell>
        </row>
        <row r="2253">
          <cell r="B2253">
            <v>35814</v>
          </cell>
          <cell r="C2253">
            <v>1322.16</v>
          </cell>
        </row>
        <row r="2254">
          <cell r="B2254">
            <v>35815</v>
          </cell>
          <cell r="C2254">
            <v>1325.07</v>
          </cell>
        </row>
        <row r="2255">
          <cell r="B2255">
            <v>35816</v>
          </cell>
          <cell r="C2255">
            <v>1327</v>
          </cell>
        </row>
        <row r="2256">
          <cell r="B2256">
            <v>35817</v>
          </cell>
          <cell r="C2256">
            <v>1331.48</v>
          </cell>
        </row>
        <row r="2257">
          <cell r="B2257">
            <v>35818</v>
          </cell>
          <cell r="C2257">
            <v>1334.71</v>
          </cell>
        </row>
        <row r="2258">
          <cell r="B2258">
            <v>35819</v>
          </cell>
          <cell r="C2258">
            <v>1332.78</v>
          </cell>
        </row>
        <row r="2259">
          <cell r="B2259">
            <v>35820</v>
          </cell>
          <cell r="C2259">
            <v>1332.78</v>
          </cell>
        </row>
        <row r="2260">
          <cell r="B2260">
            <v>35821</v>
          </cell>
          <cell r="C2260">
            <v>1332.78</v>
          </cell>
        </row>
        <row r="2261">
          <cell r="B2261">
            <v>35822</v>
          </cell>
          <cell r="C2261">
            <v>1336.38</v>
          </cell>
        </row>
        <row r="2262">
          <cell r="B2262">
            <v>35823</v>
          </cell>
          <cell r="C2262">
            <v>1337.3</v>
          </cell>
        </row>
        <row r="2263">
          <cell r="B2263">
            <v>35824</v>
          </cell>
          <cell r="C2263">
            <v>1339.57</v>
          </cell>
        </row>
        <row r="2264">
          <cell r="B2264">
            <v>35825</v>
          </cell>
          <cell r="C2264">
            <v>1341.85</v>
          </cell>
        </row>
        <row r="2265">
          <cell r="B2265">
            <v>35826</v>
          </cell>
          <cell r="C2265">
            <v>1342</v>
          </cell>
        </row>
        <row r="2266">
          <cell r="B2266">
            <v>35827</v>
          </cell>
          <cell r="C2266">
            <v>1342</v>
          </cell>
        </row>
        <row r="2267">
          <cell r="B2267">
            <v>35828</v>
          </cell>
          <cell r="C2267">
            <v>1342</v>
          </cell>
        </row>
        <row r="2268">
          <cell r="B2268">
            <v>35829</v>
          </cell>
          <cell r="C2268">
            <v>1343.9</v>
          </cell>
        </row>
        <row r="2269">
          <cell r="B2269">
            <v>35830</v>
          </cell>
          <cell r="C2269">
            <v>1345.01</v>
          </cell>
        </row>
        <row r="2270">
          <cell r="B2270">
            <v>35831</v>
          </cell>
          <cell r="C2270">
            <v>1345.46</v>
          </cell>
        </row>
        <row r="2271">
          <cell r="B2271">
            <v>35832</v>
          </cell>
          <cell r="C2271">
            <v>1346.09</v>
          </cell>
        </row>
        <row r="2272">
          <cell r="B2272">
            <v>35833</v>
          </cell>
          <cell r="C2272">
            <v>1346.42</v>
          </cell>
        </row>
        <row r="2273">
          <cell r="B2273">
            <v>35834</v>
          </cell>
          <cell r="C2273">
            <v>1346.42</v>
          </cell>
        </row>
        <row r="2274">
          <cell r="B2274">
            <v>35835</v>
          </cell>
          <cell r="C2274">
            <v>1346.42</v>
          </cell>
        </row>
        <row r="2275">
          <cell r="B2275">
            <v>35836</v>
          </cell>
          <cell r="C2275">
            <v>1347.72</v>
          </cell>
        </row>
        <row r="2276">
          <cell r="B2276">
            <v>35837</v>
          </cell>
          <cell r="C2276">
            <v>1348.23</v>
          </cell>
        </row>
        <row r="2277">
          <cell r="B2277">
            <v>35838</v>
          </cell>
          <cell r="C2277">
            <v>1348.86</v>
          </cell>
        </row>
        <row r="2278">
          <cell r="B2278">
            <v>35839</v>
          </cell>
          <cell r="C2278">
            <v>1349.34</v>
          </cell>
        </row>
        <row r="2279">
          <cell r="B2279">
            <v>35840</v>
          </cell>
          <cell r="C2279">
            <v>1349.54</v>
          </cell>
        </row>
        <row r="2280">
          <cell r="B2280">
            <v>35841</v>
          </cell>
          <cell r="C2280">
            <v>1349.54</v>
          </cell>
        </row>
        <row r="2281">
          <cell r="B2281">
            <v>35842</v>
          </cell>
          <cell r="C2281">
            <v>1349.54</v>
          </cell>
        </row>
        <row r="2282">
          <cell r="B2282">
            <v>35843</v>
          </cell>
          <cell r="C2282">
            <v>1350.97</v>
          </cell>
        </row>
        <row r="2283">
          <cell r="B2283">
            <v>35844</v>
          </cell>
          <cell r="C2283">
            <v>1350.23</v>
          </cell>
        </row>
        <row r="2284">
          <cell r="B2284">
            <v>35845</v>
          </cell>
          <cell r="C2284">
            <v>1349.95</v>
          </cell>
        </row>
        <row r="2285">
          <cell r="B2285">
            <v>35846</v>
          </cell>
          <cell r="C2285">
            <v>1350.1</v>
          </cell>
        </row>
        <row r="2286">
          <cell r="B2286">
            <v>35847</v>
          </cell>
          <cell r="C2286">
            <v>1347.94</v>
          </cell>
        </row>
        <row r="2287">
          <cell r="B2287">
            <v>35848</v>
          </cell>
          <cell r="C2287">
            <v>1347.94</v>
          </cell>
        </row>
        <row r="2288">
          <cell r="B2288">
            <v>35849</v>
          </cell>
          <cell r="C2288">
            <v>1347.94</v>
          </cell>
        </row>
        <row r="2289">
          <cell r="B2289">
            <v>35850</v>
          </cell>
          <cell r="C2289">
            <v>1340.92</v>
          </cell>
        </row>
        <row r="2290">
          <cell r="B2290">
            <v>35851</v>
          </cell>
          <cell r="C2290">
            <v>1334.72</v>
          </cell>
        </row>
        <row r="2291">
          <cell r="B2291">
            <v>35852</v>
          </cell>
          <cell r="C2291">
            <v>1340.75</v>
          </cell>
        </row>
        <row r="2292">
          <cell r="B2292">
            <v>35853</v>
          </cell>
          <cell r="C2292">
            <v>1344.25</v>
          </cell>
        </row>
        <row r="2293">
          <cell r="B2293">
            <v>35854</v>
          </cell>
          <cell r="C2293">
            <v>1343.85</v>
          </cell>
        </row>
        <row r="2294">
          <cell r="B2294">
            <v>35855</v>
          </cell>
          <cell r="C2294">
            <v>1343.85</v>
          </cell>
        </row>
        <row r="2295">
          <cell r="B2295">
            <v>35856</v>
          </cell>
          <cell r="C2295">
            <v>1343.85</v>
          </cell>
        </row>
        <row r="2296">
          <cell r="B2296">
            <v>35857</v>
          </cell>
          <cell r="C2296">
            <v>1349.04</v>
          </cell>
        </row>
        <row r="2297">
          <cell r="B2297">
            <v>35858</v>
          </cell>
          <cell r="C2297">
            <v>1352.21</v>
          </cell>
        </row>
        <row r="2298">
          <cell r="B2298">
            <v>35859</v>
          </cell>
          <cell r="C2298">
            <v>1349.8</v>
          </cell>
        </row>
        <row r="2299">
          <cell r="B2299">
            <v>35860</v>
          </cell>
          <cell r="C2299">
            <v>1353.19</v>
          </cell>
        </row>
        <row r="2300">
          <cell r="B2300">
            <v>35861</v>
          </cell>
          <cell r="C2300">
            <v>1353.71</v>
          </cell>
        </row>
        <row r="2301">
          <cell r="B2301">
            <v>35862</v>
          </cell>
          <cell r="C2301">
            <v>1353.71</v>
          </cell>
        </row>
        <row r="2302">
          <cell r="B2302">
            <v>35863</v>
          </cell>
          <cell r="C2302">
            <v>1353.71</v>
          </cell>
        </row>
        <row r="2303">
          <cell r="B2303">
            <v>35864</v>
          </cell>
          <cell r="C2303">
            <v>1354.9</v>
          </cell>
        </row>
        <row r="2304">
          <cell r="B2304">
            <v>35865</v>
          </cell>
          <cell r="C2304">
            <v>1355.88</v>
          </cell>
        </row>
        <row r="2305">
          <cell r="B2305">
            <v>35866</v>
          </cell>
          <cell r="C2305">
            <v>1356.63</v>
          </cell>
        </row>
        <row r="2306">
          <cell r="B2306">
            <v>35867</v>
          </cell>
          <cell r="C2306">
            <v>1356.7</v>
          </cell>
        </row>
        <row r="2307">
          <cell r="B2307">
            <v>35868</v>
          </cell>
          <cell r="C2307">
            <v>1355.9</v>
          </cell>
        </row>
        <row r="2308">
          <cell r="B2308">
            <v>35869</v>
          </cell>
          <cell r="C2308">
            <v>1355.9</v>
          </cell>
        </row>
        <row r="2309">
          <cell r="B2309">
            <v>35870</v>
          </cell>
          <cell r="C2309">
            <v>1355.9</v>
          </cell>
        </row>
        <row r="2310">
          <cell r="B2310">
            <v>35871</v>
          </cell>
          <cell r="C2310">
            <v>1358.66</v>
          </cell>
        </row>
        <row r="2311">
          <cell r="B2311">
            <v>35872</v>
          </cell>
          <cell r="C2311">
            <v>1359.96</v>
          </cell>
        </row>
        <row r="2312">
          <cell r="B2312">
            <v>35873</v>
          </cell>
          <cell r="C2312">
            <v>1360.56</v>
          </cell>
        </row>
        <row r="2313">
          <cell r="B2313">
            <v>35874</v>
          </cell>
          <cell r="C2313">
            <v>1361.87</v>
          </cell>
        </row>
        <row r="2314">
          <cell r="B2314">
            <v>35875</v>
          </cell>
          <cell r="C2314">
            <v>1361.86</v>
          </cell>
        </row>
        <row r="2315">
          <cell r="B2315">
            <v>35876</v>
          </cell>
          <cell r="C2315">
            <v>1361.86</v>
          </cell>
        </row>
        <row r="2316">
          <cell r="B2316">
            <v>35877</v>
          </cell>
          <cell r="C2316">
            <v>1361.86</v>
          </cell>
        </row>
        <row r="2317">
          <cell r="B2317">
            <v>35878</v>
          </cell>
          <cell r="C2317">
            <v>1361.86</v>
          </cell>
        </row>
        <row r="2318">
          <cell r="B2318">
            <v>35879</v>
          </cell>
          <cell r="C2318">
            <v>1364.4</v>
          </cell>
        </row>
        <row r="2319">
          <cell r="B2319">
            <v>35880</v>
          </cell>
          <cell r="C2319">
            <v>1364.76</v>
          </cell>
        </row>
        <row r="2320">
          <cell r="B2320">
            <v>35881</v>
          </cell>
          <cell r="C2320">
            <v>1365.66</v>
          </cell>
        </row>
        <row r="2321">
          <cell r="B2321">
            <v>35882</v>
          </cell>
          <cell r="C2321">
            <v>1361.49</v>
          </cell>
        </row>
        <row r="2322">
          <cell r="B2322">
            <v>35883</v>
          </cell>
          <cell r="C2322">
            <v>1361.49</v>
          </cell>
        </row>
        <row r="2323">
          <cell r="B2323">
            <v>35884</v>
          </cell>
          <cell r="C2323">
            <v>1361.49</v>
          </cell>
        </row>
        <row r="2324">
          <cell r="B2324">
            <v>35885</v>
          </cell>
          <cell r="C2324">
            <v>1358.03</v>
          </cell>
        </row>
        <row r="2325">
          <cell r="B2325">
            <v>35886</v>
          </cell>
          <cell r="C2325">
            <v>1360.26</v>
          </cell>
        </row>
        <row r="2326">
          <cell r="B2326">
            <v>35887</v>
          </cell>
          <cell r="C2326">
            <v>1362.54</v>
          </cell>
        </row>
        <row r="2327">
          <cell r="B2327">
            <v>35888</v>
          </cell>
          <cell r="C2327">
            <v>1357.75</v>
          </cell>
        </row>
        <row r="2328">
          <cell r="B2328">
            <v>35889</v>
          </cell>
          <cell r="C2328">
            <v>1357.71</v>
          </cell>
        </row>
        <row r="2329">
          <cell r="B2329">
            <v>35890</v>
          </cell>
          <cell r="C2329">
            <v>1357.71</v>
          </cell>
        </row>
        <row r="2330">
          <cell r="B2330">
            <v>35891</v>
          </cell>
          <cell r="C2330">
            <v>1357.71</v>
          </cell>
        </row>
        <row r="2331">
          <cell r="B2331">
            <v>35892</v>
          </cell>
          <cell r="C2331">
            <v>1355.5</v>
          </cell>
        </row>
        <row r="2332">
          <cell r="B2332">
            <v>35893</v>
          </cell>
          <cell r="C2332">
            <v>1354.15</v>
          </cell>
        </row>
        <row r="2333">
          <cell r="B2333">
            <v>35894</v>
          </cell>
          <cell r="C2333">
            <v>1357.14</v>
          </cell>
        </row>
        <row r="2334">
          <cell r="B2334">
            <v>35895</v>
          </cell>
          <cell r="C2334">
            <v>1357.14</v>
          </cell>
        </row>
        <row r="2335">
          <cell r="B2335">
            <v>35896</v>
          </cell>
          <cell r="C2335">
            <v>1357.14</v>
          </cell>
        </row>
        <row r="2336">
          <cell r="B2336">
            <v>35897</v>
          </cell>
          <cell r="C2336">
            <v>1357.14</v>
          </cell>
        </row>
        <row r="2337">
          <cell r="B2337">
            <v>35898</v>
          </cell>
          <cell r="C2337">
            <v>1357.14</v>
          </cell>
        </row>
        <row r="2338">
          <cell r="B2338">
            <v>35899</v>
          </cell>
          <cell r="C2338">
            <v>1363.38</v>
          </cell>
        </row>
        <row r="2339">
          <cell r="B2339">
            <v>35900</v>
          </cell>
          <cell r="C2339">
            <v>1365.21</v>
          </cell>
        </row>
        <row r="2340">
          <cell r="B2340">
            <v>35901</v>
          </cell>
          <cell r="C2340">
            <v>1364.06</v>
          </cell>
        </row>
        <row r="2341">
          <cell r="B2341">
            <v>35902</v>
          </cell>
          <cell r="C2341">
            <v>1360.74</v>
          </cell>
        </row>
        <row r="2342">
          <cell r="B2342">
            <v>35903</v>
          </cell>
          <cell r="C2342">
            <v>1360.49</v>
          </cell>
        </row>
        <row r="2343">
          <cell r="B2343">
            <v>35904</v>
          </cell>
          <cell r="C2343">
            <v>1360.49</v>
          </cell>
        </row>
        <row r="2344">
          <cell r="B2344">
            <v>35905</v>
          </cell>
          <cell r="C2344">
            <v>1360.49</v>
          </cell>
        </row>
        <row r="2345">
          <cell r="B2345">
            <v>35906</v>
          </cell>
          <cell r="C2345">
            <v>1360.42</v>
          </cell>
        </row>
        <row r="2346">
          <cell r="B2346">
            <v>35907</v>
          </cell>
          <cell r="C2346">
            <v>1357.51</v>
          </cell>
        </row>
        <row r="2347">
          <cell r="B2347">
            <v>35908</v>
          </cell>
          <cell r="C2347">
            <v>1355.94</v>
          </cell>
        </row>
        <row r="2348">
          <cell r="B2348">
            <v>35909</v>
          </cell>
          <cell r="C2348">
            <v>1354.91</v>
          </cell>
        </row>
        <row r="2349">
          <cell r="B2349">
            <v>35910</v>
          </cell>
          <cell r="C2349">
            <v>1359.99</v>
          </cell>
        </row>
        <row r="2350">
          <cell r="B2350">
            <v>35911</v>
          </cell>
          <cell r="C2350">
            <v>1359.99</v>
          </cell>
        </row>
        <row r="2351">
          <cell r="B2351">
            <v>35912</v>
          </cell>
          <cell r="C2351">
            <v>1359.99</v>
          </cell>
        </row>
        <row r="2352">
          <cell r="B2352">
            <v>35913</v>
          </cell>
          <cell r="C2352">
            <v>1368.17</v>
          </cell>
        </row>
        <row r="2353">
          <cell r="B2353">
            <v>35914</v>
          </cell>
          <cell r="C2353">
            <v>1371.35</v>
          </cell>
        </row>
        <row r="2354">
          <cell r="B2354">
            <v>35915</v>
          </cell>
          <cell r="C2354">
            <v>1365.72</v>
          </cell>
        </row>
        <row r="2355">
          <cell r="B2355">
            <v>35916</v>
          </cell>
          <cell r="C2355">
            <v>1364.07</v>
          </cell>
        </row>
        <row r="2356">
          <cell r="B2356">
            <v>35917</v>
          </cell>
          <cell r="C2356">
            <v>1364.07</v>
          </cell>
        </row>
        <row r="2357">
          <cell r="B2357">
            <v>35918</v>
          </cell>
          <cell r="C2357">
            <v>1364.07</v>
          </cell>
        </row>
        <row r="2358">
          <cell r="B2358">
            <v>35919</v>
          </cell>
          <cell r="C2358">
            <v>1364.07</v>
          </cell>
        </row>
        <row r="2359">
          <cell r="B2359">
            <v>35920</v>
          </cell>
          <cell r="C2359">
            <v>1369.31</v>
          </cell>
        </row>
        <row r="2360">
          <cell r="B2360">
            <v>35921</v>
          </cell>
          <cell r="C2360">
            <v>1375.39</v>
          </cell>
        </row>
        <row r="2361">
          <cell r="B2361">
            <v>35922</v>
          </cell>
          <cell r="C2361">
            <v>1382.27</v>
          </cell>
        </row>
        <row r="2362">
          <cell r="B2362">
            <v>35923</v>
          </cell>
          <cell r="C2362">
            <v>1383.04</v>
          </cell>
        </row>
        <row r="2363">
          <cell r="B2363">
            <v>35924</v>
          </cell>
          <cell r="C2363">
            <v>1385.38</v>
          </cell>
        </row>
        <row r="2364">
          <cell r="B2364">
            <v>35925</v>
          </cell>
          <cell r="C2364">
            <v>1385.38</v>
          </cell>
        </row>
        <row r="2365">
          <cell r="B2365">
            <v>35926</v>
          </cell>
          <cell r="C2365">
            <v>1385.38</v>
          </cell>
        </row>
        <row r="2366">
          <cell r="B2366">
            <v>35927</v>
          </cell>
          <cell r="C2366">
            <v>1387.78</v>
          </cell>
        </row>
        <row r="2367">
          <cell r="B2367">
            <v>35928</v>
          </cell>
          <cell r="C2367">
            <v>1388.04</v>
          </cell>
        </row>
        <row r="2368">
          <cell r="B2368">
            <v>35929</v>
          </cell>
          <cell r="C2368">
            <v>1387.15</v>
          </cell>
        </row>
        <row r="2369">
          <cell r="B2369">
            <v>35930</v>
          </cell>
          <cell r="C2369">
            <v>1384.97</v>
          </cell>
        </row>
        <row r="2370">
          <cell r="B2370">
            <v>35931</v>
          </cell>
          <cell r="C2370">
            <v>1383.31</v>
          </cell>
        </row>
        <row r="2371">
          <cell r="B2371">
            <v>35932</v>
          </cell>
          <cell r="C2371">
            <v>1383.31</v>
          </cell>
        </row>
        <row r="2372">
          <cell r="B2372">
            <v>35933</v>
          </cell>
          <cell r="C2372">
            <v>1383.31</v>
          </cell>
        </row>
        <row r="2373">
          <cell r="B2373">
            <v>35934</v>
          </cell>
          <cell r="C2373">
            <v>1387.26</v>
          </cell>
        </row>
        <row r="2374">
          <cell r="B2374">
            <v>35935</v>
          </cell>
          <cell r="C2374">
            <v>1390.89</v>
          </cell>
        </row>
        <row r="2375">
          <cell r="B2375">
            <v>35936</v>
          </cell>
          <cell r="C2375">
            <v>1392.18</v>
          </cell>
        </row>
        <row r="2376">
          <cell r="B2376">
            <v>35937</v>
          </cell>
          <cell r="C2376">
            <v>1393.62</v>
          </cell>
        </row>
        <row r="2377">
          <cell r="B2377">
            <v>35938</v>
          </cell>
          <cell r="C2377">
            <v>1394.33</v>
          </cell>
        </row>
        <row r="2378">
          <cell r="B2378">
            <v>35939</v>
          </cell>
          <cell r="C2378">
            <v>1394.33</v>
          </cell>
        </row>
        <row r="2379">
          <cell r="B2379">
            <v>35940</v>
          </cell>
          <cell r="C2379">
            <v>1394.33</v>
          </cell>
        </row>
        <row r="2380">
          <cell r="B2380">
            <v>35941</v>
          </cell>
          <cell r="C2380">
            <v>1394.33</v>
          </cell>
        </row>
        <row r="2381">
          <cell r="B2381">
            <v>35942</v>
          </cell>
          <cell r="C2381">
            <v>1396.51</v>
          </cell>
        </row>
        <row r="2382">
          <cell r="B2382">
            <v>35943</v>
          </cell>
          <cell r="C2382">
            <v>1397.12</v>
          </cell>
        </row>
        <row r="2383">
          <cell r="B2383">
            <v>35944</v>
          </cell>
          <cell r="C2383">
            <v>1396.69</v>
          </cell>
        </row>
        <row r="2384">
          <cell r="B2384">
            <v>35945</v>
          </cell>
          <cell r="C2384">
            <v>1397.07</v>
          </cell>
        </row>
        <row r="2385">
          <cell r="B2385">
            <v>35946</v>
          </cell>
          <cell r="C2385">
            <v>1397.07</v>
          </cell>
        </row>
        <row r="2386">
          <cell r="B2386">
            <v>35947</v>
          </cell>
          <cell r="C2386">
            <v>1397.07</v>
          </cell>
        </row>
        <row r="2387">
          <cell r="B2387">
            <v>35948</v>
          </cell>
          <cell r="C2387">
            <v>1398.53</v>
          </cell>
        </row>
        <row r="2388">
          <cell r="B2388">
            <v>35949</v>
          </cell>
          <cell r="C2388">
            <v>1399.56</v>
          </cell>
        </row>
        <row r="2389">
          <cell r="B2389">
            <v>35950</v>
          </cell>
          <cell r="C2389">
            <v>1399.02</v>
          </cell>
        </row>
        <row r="2390">
          <cell r="B2390">
            <v>35951</v>
          </cell>
          <cell r="C2390">
            <v>1397.63</v>
          </cell>
        </row>
        <row r="2391">
          <cell r="B2391">
            <v>35952</v>
          </cell>
          <cell r="C2391">
            <v>1387.12</v>
          </cell>
        </row>
        <row r="2392">
          <cell r="B2392">
            <v>35953</v>
          </cell>
          <cell r="C2392">
            <v>1387.12</v>
          </cell>
        </row>
        <row r="2393">
          <cell r="B2393">
            <v>35954</v>
          </cell>
          <cell r="C2393">
            <v>1387.12</v>
          </cell>
        </row>
        <row r="2394">
          <cell r="B2394">
            <v>35955</v>
          </cell>
          <cell r="C2394">
            <v>1386.53</v>
          </cell>
        </row>
        <row r="2395">
          <cell r="B2395">
            <v>35956</v>
          </cell>
          <cell r="C2395">
            <v>1376.25</v>
          </cell>
        </row>
        <row r="2396">
          <cell r="B2396">
            <v>35957</v>
          </cell>
          <cell r="C2396">
            <v>1383.23</v>
          </cell>
        </row>
        <row r="2397">
          <cell r="B2397">
            <v>35958</v>
          </cell>
          <cell r="C2397">
            <v>1388.76</v>
          </cell>
        </row>
        <row r="2398">
          <cell r="B2398">
            <v>35959</v>
          </cell>
          <cell r="C2398">
            <v>1380.51</v>
          </cell>
        </row>
        <row r="2399">
          <cell r="B2399">
            <v>35960</v>
          </cell>
          <cell r="C2399">
            <v>1380.51</v>
          </cell>
        </row>
        <row r="2400">
          <cell r="B2400">
            <v>35961</v>
          </cell>
          <cell r="C2400">
            <v>1380.51</v>
          </cell>
        </row>
        <row r="2401">
          <cell r="B2401">
            <v>35962</v>
          </cell>
          <cell r="C2401">
            <v>1380.51</v>
          </cell>
        </row>
        <row r="2402">
          <cell r="B2402">
            <v>35963</v>
          </cell>
          <cell r="C2402">
            <v>1388.5</v>
          </cell>
        </row>
        <row r="2403">
          <cell r="B2403">
            <v>35964</v>
          </cell>
          <cell r="C2403">
            <v>1394.39</v>
          </cell>
        </row>
        <row r="2404">
          <cell r="B2404">
            <v>35965</v>
          </cell>
          <cell r="C2404">
            <v>1390.85</v>
          </cell>
        </row>
        <row r="2405">
          <cell r="B2405">
            <v>35966</v>
          </cell>
          <cell r="C2405">
            <v>1394.8</v>
          </cell>
        </row>
        <row r="2406">
          <cell r="B2406">
            <v>35967</v>
          </cell>
          <cell r="C2406">
            <v>1394.8</v>
          </cell>
        </row>
        <row r="2407">
          <cell r="B2407">
            <v>35968</v>
          </cell>
          <cell r="C2407">
            <v>1394.8</v>
          </cell>
        </row>
        <row r="2408">
          <cell r="B2408">
            <v>35969</v>
          </cell>
          <cell r="C2408">
            <v>1394.8</v>
          </cell>
        </row>
        <row r="2409">
          <cell r="B2409">
            <v>35970</v>
          </cell>
          <cell r="C2409">
            <v>1381.11</v>
          </cell>
        </row>
        <row r="2410">
          <cell r="B2410">
            <v>35971</v>
          </cell>
          <cell r="C2410">
            <v>1375.02</v>
          </cell>
        </row>
        <row r="2411">
          <cell r="B2411">
            <v>35972</v>
          </cell>
          <cell r="C2411">
            <v>1363.67</v>
          </cell>
        </row>
        <row r="2412">
          <cell r="B2412">
            <v>35973</v>
          </cell>
          <cell r="C2412">
            <v>1363.04</v>
          </cell>
        </row>
        <row r="2413">
          <cell r="B2413">
            <v>35974</v>
          </cell>
          <cell r="C2413">
            <v>1363.04</v>
          </cell>
        </row>
        <row r="2414">
          <cell r="B2414">
            <v>35975</v>
          </cell>
          <cell r="C2414">
            <v>1363.04</v>
          </cell>
        </row>
        <row r="2415">
          <cell r="B2415">
            <v>35976</v>
          </cell>
          <cell r="C2415">
            <v>1363.04</v>
          </cell>
        </row>
        <row r="2416">
          <cell r="B2416">
            <v>35977</v>
          </cell>
          <cell r="C2416">
            <v>1369.88</v>
          </cell>
        </row>
        <row r="2417">
          <cell r="B2417">
            <v>35978</v>
          </cell>
          <cell r="C2417">
            <v>1358.05</v>
          </cell>
        </row>
        <row r="2418">
          <cell r="B2418">
            <v>35979</v>
          </cell>
          <cell r="C2418">
            <v>1345.65</v>
          </cell>
        </row>
        <row r="2419">
          <cell r="B2419">
            <v>35980</v>
          </cell>
          <cell r="C2419">
            <v>1348.06</v>
          </cell>
        </row>
        <row r="2420">
          <cell r="B2420">
            <v>35981</v>
          </cell>
          <cell r="C2420">
            <v>1348.06</v>
          </cell>
        </row>
        <row r="2421">
          <cell r="B2421">
            <v>35982</v>
          </cell>
          <cell r="C2421">
            <v>1348.06</v>
          </cell>
        </row>
        <row r="2422">
          <cell r="B2422">
            <v>35983</v>
          </cell>
          <cell r="C2422">
            <v>1357.78</v>
          </cell>
        </row>
        <row r="2423">
          <cell r="B2423">
            <v>35984</v>
          </cell>
          <cell r="C2423">
            <v>1368.16</v>
          </cell>
        </row>
        <row r="2424">
          <cell r="B2424">
            <v>35985</v>
          </cell>
          <cell r="C2424">
            <v>1369.12</v>
          </cell>
        </row>
        <row r="2425">
          <cell r="B2425">
            <v>35986</v>
          </cell>
          <cell r="C2425">
            <v>1370.45</v>
          </cell>
        </row>
        <row r="2426">
          <cell r="B2426">
            <v>35987</v>
          </cell>
          <cell r="C2426">
            <v>1374.23</v>
          </cell>
        </row>
        <row r="2427">
          <cell r="B2427">
            <v>35988</v>
          </cell>
          <cell r="C2427">
            <v>1374.23</v>
          </cell>
        </row>
        <row r="2428">
          <cell r="B2428">
            <v>35989</v>
          </cell>
          <cell r="C2428">
            <v>1374.23</v>
          </cell>
        </row>
        <row r="2429">
          <cell r="B2429">
            <v>35990</v>
          </cell>
          <cell r="C2429">
            <v>1380.27</v>
          </cell>
        </row>
        <row r="2430">
          <cell r="B2430">
            <v>35991</v>
          </cell>
          <cell r="C2430">
            <v>1381.22</v>
          </cell>
        </row>
        <row r="2431">
          <cell r="B2431">
            <v>35992</v>
          </cell>
          <cell r="C2431">
            <v>1378.01</v>
          </cell>
        </row>
        <row r="2432">
          <cell r="B2432">
            <v>35993</v>
          </cell>
          <cell r="C2432">
            <v>1376.74</v>
          </cell>
        </row>
        <row r="2433">
          <cell r="B2433">
            <v>35994</v>
          </cell>
          <cell r="C2433">
            <v>1381.54</v>
          </cell>
        </row>
        <row r="2434">
          <cell r="B2434">
            <v>35995</v>
          </cell>
          <cell r="C2434">
            <v>1381.54</v>
          </cell>
        </row>
        <row r="2435">
          <cell r="B2435">
            <v>35996</v>
          </cell>
          <cell r="C2435">
            <v>1381.54</v>
          </cell>
        </row>
        <row r="2436">
          <cell r="B2436">
            <v>35997</v>
          </cell>
          <cell r="C2436">
            <v>1381.54</v>
          </cell>
        </row>
        <row r="2437">
          <cell r="B2437">
            <v>35998</v>
          </cell>
          <cell r="C2437">
            <v>1380.87</v>
          </cell>
        </row>
        <row r="2438">
          <cell r="B2438">
            <v>35999</v>
          </cell>
          <cell r="C2438">
            <v>1376.87</v>
          </cell>
        </row>
        <row r="2439">
          <cell r="B2439">
            <v>36000</v>
          </cell>
          <cell r="C2439">
            <v>1378.88</v>
          </cell>
        </row>
        <row r="2440">
          <cell r="B2440">
            <v>36001</v>
          </cell>
          <cell r="C2440">
            <v>1379.61</v>
          </cell>
        </row>
        <row r="2441">
          <cell r="B2441">
            <v>36002</v>
          </cell>
          <cell r="C2441">
            <v>1379.61</v>
          </cell>
        </row>
        <row r="2442">
          <cell r="B2442">
            <v>36003</v>
          </cell>
          <cell r="C2442">
            <v>1379.61</v>
          </cell>
        </row>
        <row r="2443">
          <cell r="B2443">
            <v>36004</v>
          </cell>
          <cell r="C2443">
            <v>1378.33</v>
          </cell>
        </row>
        <row r="2444">
          <cell r="B2444">
            <v>36005</v>
          </cell>
          <cell r="C2444">
            <v>1376.12</v>
          </cell>
        </row>
        <row r="2445">
          <cell r="B2445">
            <v>36006</v>
          </cell>
          <cell r="C2445">
            <v>1373.49</v>
          </cell>
        </row>
        <row r="2446">
          <cell r="B2446">
            <v>36007</v>
          </cell>
          <cell r="C2446">
            <v>1370.65</v>
          </cell>
        </row>
        <row r="2447">
          <cell r="B2447">
            <v>36008</v>
          </cell>
          <cell r="C2447">
            <v>1372.14</v>
          </cell>
        </row>
        <row r="2448">
          <cell r="B2448">
            <v>36009</v>
          </cell>
          <cell r="C2448">
            <v>1372.14</v>
          </cell>
        </row>
        <row r="2449">
          <cell r="B2449">
            <v>36010</v>
          </cell>
          <cell r="C2449">
            <v>1372.14</v>
          </cell>
        </row>
        <row r="2450">
          <cell r="B2450">
            <v>36011</v>
          </cell>
          <cell r="C2450">
            <v>1371.16</v>
          </cell>
        </row>
        <row r="2451">
          <cell r="B2451">
            <v>36012</v>
          </cell>
          <cell r="C2451">
            <v>1368.24</v>
          </cell>
        </row>
        <row r="2452">
          <cell r="B2452">
            <v>36013</v>
          </cell>
          <cell r="C2452">
            <v>1366.44</v>
          </cell>
        </row>
        <row r="2453">
          <cell r="B2453">
            <v>36014</v>
          </cell>
          <cell r="C2453">
            <v>1364.9</v>
          </cell>
        </row>
        <row r="2454">
          <cell r="B2454">
            <v>36015</v>
          </cell>
          <cell r="C2454">
            <v>1364.9</v>
          </cell>
        </row>
        <row r="2455">
          <cell r="B2455">
            <v>36016</v>
          </cell>
          <cell r="C2455">
            <v>1364.9</v>
          </cell>
        </row>
        <row r="2456">
          <cell r="B2456">
            <v>36017</v>
          </cell>
          <cell r="C2456">
            <v>1364.9</v>
          </cell>
        </row>
        <row r="2457">
          <cell r="B2457">
            <v>36018</v>
          </cell>
          <cell r="C2457">
            <v>1359.22</v>
          </cell>
        </row>
        <row r="2458">
          <cell r="B2458">
            <v>36019</v>
          </cell>
          <cell r="C2458">
            <v>1365.58</v>
          </cell>
        </row>
        <row r="2459">
          <cell r="B2459">
            <v>36020</v>
          </cell>
          <cell r="C2459">
            <v>1371.23</v>
          </cell>
        </row>
        <row r="2460">
          <cell r="B2460">
            <v>36021</v>
          </cell>
          <cell r="C2460">
            <v>1377.08</v>
          </cell>
        </row>
        <row r="2461">
          <cell r="B2461">
            <v>36022</v>
          </cell>
          <cell r="C2461">
            <v>1386.02</v>
          </cell>
        </row>
        <row r="2462">
          <cell r="B2462">
            <v>36023</v>
          </cell>
          <cell r="C2462">
            <v>1386.02</v>
          </cell>
        </row>
        <row r="2463">
          <cell r="B2463">
            <v>36024</v>
          </cell>
          <cell r="C2463">
            <v>1386.02</v>
          </cell>
        </row>
        <row r="2464">
          <cell r="B2464">
            <v>36025</v>
          </cell>
          <cell r="C2464">
            <v>1386.02</v>
          </cell>
        </row>
        <row r="2465">
          <cell r="B2465">
            <v>36026</v>
          </cell>
          <cell r="C2465">
            <v>1385.77</v>
          </cell>
        </row>
        <row r="2466">
          <cell r="B2466">
            <v>36027</v>
          </cell>
          <cell r="C2466">
            <v>1384.24</v>
          </cell>
        </row>
        <row r="2467">
          <cell r="B2467">
            <v>36028</v>
          </cell>
          <cell r="C2467">
            <v>1391.55</v>
          </cell>
        </row>
        <row r="2468">
          <cell r="B2468">
            <v>36029</v>
          </cell>
          <cell r="C2468">
            <v>1407.27</v>
          </cell>
        </row>
        <row r="2469">
          <cell r="B2469">
            <v>36030</v>
          </cell>
          <cell r="C2469">
            <v>1407.27</v>
          </cell>
        </row>
        <row r="2470">
          <cell r="B2470">
            <v>36031</v>
          </cell>
          <cell r="C2470">
            <v>1407.27</v>
          </cell>
        </row>
        <row r="2471">
          <cell r="B2471">
            <v>36032</v>
          </cell>
          <cell r="C2471">
            <v>1418.22</v>
          </cell>
        </row>
        <row r="2472">
          <cell r="B2472">
            <v>36033</v>
          </cell>
          <cell r="C2472">
            <v>1420.27</v>
          </cell>
        </row>
        <row r="2473">
          <cell r="B2473">
            <v>36034</v>
          </cell>
          <cell r="C2473">
            <v>1430.33</v>
          </cell>
        </row>
        <row r="2474">
          <cell r="B2474">
            <v>36035</v>
          </cell>
          <cell r="C2474">
            <v>1438.16</v>
          </cell>
        </row>
        <row r="2475">
          <cell r="B2475">
            <v>36036</v>
          </cell>
          <cell r="C2475">
            <v>1440.87</v>
          </cell>
        </row>
        <row r="2476">
          <cell r="B2476">
            <v>36037</v>
          </cell>
          <cell r="C2476">
            <v>1440.87</v>
          </cell>
        </row>
        <row r="2477">
          <cell r="B2477">
            <v>36038</v>
          </cell>
          <cell r="C2477">
            <v>1440.87</v>
          </cell>
        </row>
        <row r="2478">
          <cell r="B2478">
            <v>36039</v>
          </cell>
          <cell r="C2478">
            <v>1441.86</v>
          </cell>
        </row>
        <row r="2479">
          <cell r="B2479">
            <v>36040</v>
          </cell>
          <cell r="C2479">
            <v>1442.95</v>
          </cell>
        </row>
        <row r="2480">
          <cell r="B2480">
            <v>36041</v>
          </cell>
          <cell r="C2480">
            <v>1518.56</v>
          </cell>
        </row>
        <row r="2481">
          <cell r="B2481">
            <v>36042</v>
          </cell>
          <cell r="C2481">
            <v>1532.19</v>
          </cell>
        </row>
        <row r="2482">
          <cell r="B2482">
            <v>36043</v>
          </cell>
          <cell r="C2482">
            <v>1538.84</v>
          </cell>
        </row>
        <row r="2483">
          <cell r="B2483">
            <v>36044</v>
          </cell>
          <cell r="C2483">
            <v>1538.84</v>
          </cell>
        </row>
        <row r="2484">
          <cell r="B2484">
            <v>36045</v>
          </cell>
          <cell r="C2484">
            <v>1538.84</v>
          </cell>
        </row>
        <row r="2485">
          <cell r="B2485">
            <v>36046</v>
          </cell>
          <cell r="C2485">
            <v>1511.55</v>
          </cell>
        </row>
        <row r="2486">
          <cell r="B2486">
            <v>36047</v>
          </cell>
          <cell r="C2486">
            <v>1505.66</v>
          </cell>
        </row>
        <row r="2487">
          <cell r="B2487">
            <v>36048</v>
          </cell>
          <cell r="C2487">
            <v>1493.4</v>
          </cell>
        </row>
        <row r="2488">
          <cell r="B2488">
            <v>36049</v>
          </cell>
          <cell r="C2488">
            <v>1506.27</v>
          </cell>
        </row>
        <row r="2489">
          <cell r="B2489">
            <v>36050</v>
          </cell>
          <cell r="C2489">
            <v>1505.85</v>
          </cell>
        </row>
        <row r="2490">
          <cell r="B2490">
            <v>36051</v>
          </cell>
          <cell r="C2490">
            <v>1505.85</v>
          </cell>
        </row>
        <row r="2491">
          <cell r="B2491">
            <v>36052</v>
          </cell>
          <cell r="C2491">
            <v>1505.85</v>
          </cell>
        </row>
        <row r="2492">
          <cell r="B2492">
            <v>36053</v>
          </cell>
          <cell r="C2492">
            <v>1510.41</v>
          </cell>
        </row>
        <row r="2493">
          <cell r="B2493">
            <v>36054</v>
          </cell>
          <cell r="C2493">
            <v>1516.92</v>
          </cell>
        </row>
        <row r="2494">
          <cell r="B2494">
            <v>36055</v>
          </cell>
          <cell r="C2494">
            <v>1520.63</v>
          </cell>
        </row>
        <row r="2495">
          <cell r="B2495">
            <v>36056</v>
          </cell>
          <cell r="C2495">
            <v>1531.49</v>
          </cell>
        </row>
        <row r="2496">
          <cell r="B2496">
            <v>36057</v>
          </cell>
          <cell r="C2496">
            <v>1533.95</v>
          </cell>
        </row>
        <row r="2497">
          <cell r="B2497">
            <v>36058</v>
          </cell>
          <cell r="C2497">
            <v>1533.95</v>
          </cell>
        </row>
        <row r="2498">
          <cell r="B2498">
            <v>36059</v>
          </cell>
          <cell r="C2498">
            <v>1533.95</v>
          </cell>
        </row>
        <row r="2499">
          <cell r="B2499">
            <v>36060</v>
          </cell>
          <cell r="C2499">
            <v>1529.26</v>
          </cell>
        </row>
        <row r="2500">
          <cell r="B2500">
            <v>36061</v>
          </cell>
          <cell r="C2500">
            <v>1541.16</v>
          </cell>
        </row>
        <row r="2501">
          <cell r="B2501">
            <v>36062</v>
          </cell>
          <cell r="C2501">
            <v>1561.28</v>
          </cell>
        </row>
        <row r="2502">
          <cell r="B2502">
            <v>36063</v>
          </cell>
          <cell r="C2502">
            <v>1548.95</v>
          </cell>
        </row>
        <row r="2503">
          <cell r="B2503">
            <v>36064</v>
          </cell>
          <cell r="C2503">
            <v>1547.81</v>
          </cell>
        </row>
        <row r="2504">
          <cell r="B2504">
            <v>36065</v>
          </cell>
          <cell r="C2504">
            <v>1547.81</v>
          </cell>
        </row>
        <row r="2505">
          <cell r="B2505">
            <v>36066</v>
          </cell>
          <cell r="C2505">
            <v>1547.81</v>
          </cell>
        </row>
        <row r="2506">
          <cell r="B2506">
            <v>36067</v>
          </cell>
          <cell r="C2506">
            <v>1556.25</v>
          </cell>
        </row>
        <row r="2507">
          <cell r="B2507">
            <v>36068</v>
          </cell>
          <cell r="C2507">
            <v>1556.15</v>
          </cell>
        </row>
        <row r="2508">
          <cell r="B2508">
            <v>36069</v>
          </cell>
          <cell r="C2508">
            <v>1556.52</v>
          </cell>
        </row>
        <row r="2509">
          <cell r="B2509">
            <v>36070</v>
          </cell>
          <cell r="C2509">
            <v>1573.22</v>
          </cell>
        </row>
        <row r="2510">
          <cell r="B2510">
            <v>36071</v>
          </cell>
          <cell r="C2510">
            <v>1578.96</v>
          </cell>
        </row>
        <row r="2511">
          <cell r="B2511">
            <v>36072</v>
          </cell>
          <cell r="C2511">
            <v>1578.96</v>
          </cell>
        </row>
        <row r="2512">
          <cell r="B2512">
            <v>36073</v>
          </cell>
          <cell r="C2512">
            <v>1578.96</v>
          </cell>
        </row>
        <row r="2513">
          <cell r="B2513">
            <v>36074</v>
          </cell>
          <cell r="C2513">
            <v>1585.64</v>
          </cell>
        </row>
        <row r="2514">
          <cell r="B2514">
            <v>36075</v>
          </cell>
          <cell r="C2514">
            <v>1588.64</v>
          </cell>
        </row>
        <row r="2515">
          <cell r="B2515">
            <v>36076</v>
          </cell>
          <cell r="C2515">
            <v>1586.53</v>
          </cell>
        </row>
        <row r="2516">
          <cell r="B2516">
            <v>36077</v>
          </cell>
          <cell r="C2516">
            <v>1587.46</v>
          </cell>
        </row>
        <row r="2517">
          <cell r="B2517">
            <v>36078</v>
          </cell>
          <cell r="C2517">
            <v>1590.64</v>
          </cell>
        </row>
        <row r="2518">
          <cell r="B2518">
            <v>36079</v>
          </cell>
          <cell r="C2518">
            <v>1590.64</v>
          </cell>
        </row>
        <row r="2519">
          <cell r="B2519">
            <v>36080</v>
          </cell>
          <cell r="C2519">
            <v>1590.64</v>
          </cell>
        </row>
        <row r="2520">
          <cell r="B2520">
            <v>36081</v>
          </cell>
          <cell r="C2520">
            <v>1590.64</v>
          </cell>
        </row>
        <row r="2521">
          <cell r="B2521">
            <v>36082</v>
          </cell>
          <cell r="C2521">
            <v>1592.11</v>
          </cell>
        </row>
        <row r="2522">
          <cell r="B2522">
            <v>36083</v>
          </cell>
          <cell r="C2522">
            <v>1591.01</v>
          </cell>
        </row>
        <row r="2523">
          <cell r="B2523">
            <v>36084</v>
          </cell>
          <cell r="C2523">
            <v>1594.19</v>
          </cell>
        </row>
        <row r="2524">
          <cell r="B2524">
            <v>36085</v>
          </cell>
          <cell r="C2524">
            <v>1596.21</v>
          </cell>
        </row>
        <row r="2525">
          <cell r="B2525">
            <v>36086</v>
          </cell>
          <cell r="C2525">
            <v>1596.21</v>
          </cell>
        </row>
        <row r="2526">
          <cell r="B2526">
            <v>36087</v>
          </cell>
          <cell r="C2526">
            <v>1596.21</v>
          </cell>
        </row>
        <row r="2527">
          <cell r="B2527">
            <v>36088</v>
          </cell>
          <cell r="C2527">
            <v>1598.18</v>
          </cell>
        </row>
        <row r="2528">
          <cell r="B2528">
            <v>36089</v>
          </cell>
          <cell r="C2528">
            <v>1598.61</v>
          </cell>
        </row>
        <row r="2529">
          <cell r="B2529">
            <v>36090</v>
          </cell>
          <cell r="C2529">
            <v>1597.79</v>
          </cell>
        </row>
        <row r="2530">
          <cell r="B2530">
            <v>36091</v>
          </cell>
          <cell r="C2530">
            <v>1599.15</v>
          </cell>
        </row>
        <row r="2531">
          <cell r="B2531">
            <v>36092</v>
          </cell>
          <cell r="C2531">
            <v>1597.97</v>
          </cell>
        </row>
        <row r="2532">
          <cell r="B2532">
            <v>36093</v>
          </cell>
          <cell r="C2532">
            <v>1597.97</v>
          </cell>
        </row>
        <row r="2533">
          <cell r="B2533">
            <v>36094</v>
          </cell>
          <cell r="C2533">
            <v>1597.97</v>
          </cell>
        </row>
        <row r="2534">
          <cell r="B2534">
            <v>36095</v>
          </cell>
          <cell r="C2534">
            <v>1590.64</v>
          </cell>
        </row>
        <row r="2535">
          <cell r="B2535">
            <v>36096</v>
          </cell>
          <cell r="C2535">
            <v>1576.38</v>
          </cell>
        </row>
        <row r="2536">
          <cell r="B2536">
            <v>36097</v>
          </cell>
          <cell r="C2536">
            <v>1577.9</v>
          </cell>
        </row>
        <row r="2537">
          <cell r="B2537">
            <v>36098</v>
          </cell>
          <cell r="C2537">
            <v>1577.19</v>
          </cell>
        </row>
        <row r="2538">
          <cell r="B2538">
            <v>36099</v>
          </cell>
          <cell r="C2538">
            <v>1575.08</v>
          </cell>
        </row>
        <row r="2539">
          <cell r="B2539">
            <v>36100</v>
          </cell>
          <cell r="C2539">
            <v>1575.08</v>
          </cell>
        </row>
        <row r="2540">
          <cell r="B2540">
            <v>36101</v>
          </cell>
          <cell r="C2540">
            <v>1575.08</v>
          </cell>
        </row>
        <row r="2541">
          <cell r="B2541">
            <v>36102</v>
          </cell>
          <cell r="C2541">
            <v>1575.08</v>
          </cell>
        </row>
        <row r="2542">
          <cell r="B2542">
            <v>36103</v>
          </cell>
          <cell r="C2542">
            <v>1569.93</v>
          </cell>
        </row>
        <row r="2543">
          <cell r="B2543">
            <v>36104</v>
          </cell>
          <cell r="C2543">
            <v>1568.54</v>
          </cell>
        </row>
        <row r="2544">
          <cell r="B2544">
            <v>36105</v>
          </cell>
          <cell r="C2544">
            <v>1563.32</v>
          </cell>
        </row>
        <row r="2545">
          <cell r="B2545">
            <v>36106</v>
          </cell>
          <cell r="C2545">
            <v>1553.71</v>
          </cell>
        </row>
        <row r="2546">
          <cell r="B2546">
            <v>36107</v>
          </cell>
          <cell r="C2546">
            <v>1553.71</v>
          </cell>
        </row>
        <row r="2547">
          <cell r="B2547">
            <v>36108</v>
          </cell>
          <cell r="C2547">
            <v>1553.71</v>
          </cell>
        </row>
        <row r="2548">
          <cell r="B2548">
            <v>36109</v>
          </cell>
          <cell r="C2548">
            <v>1559.35</v>
          </cell>
        </row>
        <row r="2549">
          <cell r="B2549">
            <v>36110</v>
          </cell>
          <cell r="C2549">
            <v>1571.76</v>
          </cell>
        </row>
        <row r="2550">
          <cell r="B2550">
            <v>36111</v>
          </cell>
          <cell r="C2550">
            <v>1577.61</v>
          </cell>
        </row>
        <row r="2551">
          <cell r="B2551">
            <v>36112</v>
          </cell>
          <cell r="C2551">
            <v>1578.79</v>
          </cell>
        </row>
        <row r="2552">
          <cell r="B2552">
            <v>36113</v>
          </cell>
          <cell r="C2552">
            <v>1580.99</v>
          </cell>
        </row>
        <row r="2553">
          <cell r="B2553">
            <v>36114</v>
          </cell>
          <cell r="C2553">
            <v>1580.99</v>
          </cell>
        </row>
        <row r="2554">
          <cell r="B2554">
            <v>36115</v>
          </cell>
          <cell r="C2554">
            <v>1580.99</v>
          </cell>
        </row>
        <row r="2555">
          <cell r="B2555">
            <v>36116</v>
          </cell>
          <cell r="C2555">
            <v>1580.99</v>
          </cell>
        </row>
        <row r="2556">
          <cell r="B2556">
            <v>36117</v>
          </cell>
          <cell r="C2556">
            <v>1583.29</v>
          </cell>
        </row>
        <row r="2557">
          <cell r="B2557">
            <v>36118</v>
          </cell>
          <cell r="C2557">
            <v>1569.6</v>
          </cell>
        </row>
        <row r="2558">
          <cell r="B2558">
            <v>36119</v>
          </cell>
          <cell r="C2558">
            <v>1558.49</v>
          </cell>
        </row>
        <row r="2559">
          <cell r="B2559">
            <v>36120</v>
          </cell>
          <cell r="C2559">
            <v>1539.38</v>
          </cell>
        </row>
        <row r="2560">
          <cell r="B2560">
            <v>36121</v>
          </cell>
          <cell r="C2560">
            <v>1539.38</v>
          </cell>
        </row>
        <row r="2561">
          <cell r="B2561">
            <v>36122</v>
          </cell>
          <cell r="C2561">
            <v>1539.38</v>
          </cell>
        </row>
        <row r="2562">
          <cell r="B2562">
            <v>36123</v>
          </cell>
          <cell r="C2562">
            <v>1547.92</v>
          </cell>
        </row>
        <row r="2563">
          <cell r="B2563">
            <v>36124</v>
          </cell>
          <cell r="C2563">
            <v>1557.57</v>
          </cell>
        </row>
        <row r="2564">
          <cell r="B2564">
            <v>36125</v>
          </cell>
          <cell r="C2564">
            <v>1545.53</v>
          </cell>
        </row>
        <row r="2565">
          <cell r="B2565">
            <v>36126</v>
          </cell>
          <cell r="C2565">
            <v>1543.45</v>
          </cell>
        </row>
        <row r="2566">
          <cell r="B2566">
            <v>36127</v>
          </cell>
          <cell r="C2566">
            <v>1547.11</v>
          </cell>
        </row>
        <row r="2567">
          <cell r="B2567">
            <v>36128</v>
          </cell>
          <cell r="C2567">
            <v>1547.11</v>
          </cell>
        </row>
        <row r="2568">
          <cell r="B2568">
            <v>36129</v>
          </cell>
          <cell r="C2568">
            <v>1547.11</v>
          </cell>
        </row>
        <row r="2569">
          <cell r="B2569">
            <v>36130</v>
          </cell>
          <cell r="C2569">
            <v>1545.88</v>
          </cell>
        </row>
        <row r="2570">
          <cell r="B2570">
            <v>36131</v>
          </cell>
          <cell r="C2570">
            <v>1545.82</v>
          </cell>
        </row>
        <row r="2571">
          <cell r="B2571">
            <v>36132</v>
          </cell>
          <cell r="C2571">
            <v>1539.32</v>
          </cell>
        </row>
        <row r="2572">
          <cell r="B2572">
            <v>36133</v>
          </cell>
          <cell r="C2572">
            <v>1545.89</v>
          </cell>
        </row>
        <row r="2573">
          <cell r="B2573">
            <v>36134</v>
          </cell>
          <cell r="C2573">
            <v>1552.48</v>
          </cell>
        </row>
        <row r="2574">
          <cell r="B2574">
            <v>36135</v>
          </cell>
          <cell r="C2574">
            <v>1552.48</v>
          </cell>
        </row>
        <row r="2575">
          <cell r="B2575">
            <v>36136</v>
          </cell>
          <cell r="C2575">
            <v>1552.48</v>
          </cell>
        </row>
        <row r="2576">
          <cell r="B2576">
            <v>36137</v>
          </cell>
          <cell r="C2576">
            <v>1548.63</v>
          </cell>
        </row>
        <row r="2577">
          <cell r="B2577">
            <v>36138</v>
          </cell>
          <cell r="C2577">
            <v>1548.63</v>
          </cell>
        </row>
        <row r="2578">
          <cell r="B2578">
            <v>36139</v>
          </cell>
          <cell r="C2578">
            <v>1541.14</v>
          </cell>
        </row>
        <row r="2579">
          <cell r="B2579">
            <v>36140</v>
          </cell>
          <cell r="C2579">
            <v>1530.63</v>
          </cell>
        </row>
        <row r="2580">
          <cell r="B2580">
            <v>36141</v>
          </cell>
          <cell r="C2580">
            <v>1531.13</v>
          </cell>
        </row>
        <row r="2581">
          <cell r="B2581">
            <v>36142</v>
          </cell>
          <cell r="C2581">
            <v>1531.13</v>
          </cell>
        </row>
        <row r="2582">
          <cell r="B2582">
            <v>36143</v>
          </cell>
          <cell r="C2582">
            <v>1531.13</v>
          </cell>
        </row>
        <row r="2583">
          <cell r="B2583">
            <v>36144</v>
          </cell>
          <cell r="C2583">
            <v>1532.76</v>
          </cell>
        </row>
        <row r="2584">
          <cell r="B2584">
            <v>36145</v>
          </cell>
          <cell r="C2584">
            <v>1529.07</v>
          </cell>
        </row>
        <row r="2585">
          <cell r="B2585">
            <v>36146</v>
          </cell>
          <cell r="C2585">
            <v>1523.8</v>
          </cell>
        </row>
        <row r="2586">
          <cell r="B2586">
            <v>36147</v>
          </cell>
          <cell r="C2586">
            <v>1515.98</v>
          </cell>
        </row>
        <row r="2587">
          <cell r="B2587">
            <v>36148</v>
          </cell>
          <cell r="C2587">
            <v>1494.11</v>
          </cell>
        </row>
        <row r="2588">
          <cell r="B2588">
            <v>36149</v>
          </cell>
          <cell r="C2588">
            <v>1494.11</v>
          </cell>
        </row>
        <row r="2589">
          <cell r="B2589">
            <v>36150</v>
          </cell>
          <cell r="C2589">
            <v>1494.11</v>
          </cell>
        </row>
        <row r="2590">
          <cell r="B2590">
            <v>36151</v>
          </cell>
          <cell r="C2590">
            <v>1477.51</v>
          </cell>
        </row>
        <row r="2591">
          <cell r="B2591">
            <v>36152</v>
          </cell>
          <cell r="C2591">
            <v>1467.04</v>
          </cell>
        </row>
        <row r="2592">
          <cell r="B2592">
            <v>36153</v>
          </cell>
          <cell r="C2592">
            <v>1484.88</v>
          </cell>
        </row>
        <row r="2593">
          <cell r="B2593">
            <v>36154</v>
          </cell>
          <cell r="C2593">
            <v>1484.88</v>
          </cell>
        </row>
        <row r="2594">
          <cell r="B2594">
            <v>36155</v>
          </cell>
          <cell r="C2594">
            <v>1484.88</v>
          </cell>
        </row>
        <row r="2595">
          <cell r="B2595">
            <v>36156</v>
          </cell>
          <cell r="C2595">
            <v>1484.88</v>
          </cell>
        </row>
        <row r="2596">
          <cell r="B2596">
            <v>36157</v>
          </cell>
          <cell r="C2596">
            <v>1484.88</v>
          </cell>
        </row>
        <row r="2597">
          <cell r="B2597">
            <v>36158</v>
          </cell>
          <cell r="C2597">
            <v>1507.52</v>
          </cell>
        </row>
        <row r="2598">
          <cell r="B2598">
            <v>36159</v>
          </cell>
          <cell r="C2598">
            <v>1535.55</v>
          </cell>
        </row>
        <row r="2599">
          <cell r="B2599">
            <v>36160</v>
          </cell>
          <cell r="C2599">
            <v>1542.11</v>
          </cell>
        </row>
        <row r="2600">
          <cell r="B2600">
            <v>36161</v>
          </cell>
          <cell r="C2600">
            <v>1542.11</v>
          </cell>
        </row>
        <row r="2601">
          <cell r="B2601">
            <v>36162</v>
          </cell>
          <cell r="C2601">
            <v>1542.11</v>
          </cell>
        </row>
        <row r="2602">
          <cell r="B2602">
            <v>36163</v>
          </cell>
          <cell r="C2602">
            <v>1542.11</v>
          </cell>
        </row>
        <row r="2603">
          <cell r="B2603">
            <v>36164</v>
          </cell>
          <cell r="C2603">
            <v>1542.11</v>
          </cell>
        </row>
        <row r="2604">
          <cell r="B2604">
            <v>36165</v>
          </cell>
          <cell r="C2604">
            <v>1545.11</v>
          </cell>
        </row>
        <row r="2605">
          <cell r="B2605">
            <v>36166</v>
          </cell>
          <cell r="C2605">
            <v>1528.28</v>
          </cell>
        </row>
        <row r="2606">
          <cell r="B2606">
            <v>36167</v>
          </cell>
          <cell r="C2606">
            <v>1530.48</v>
          </cell>
        </row>
        <row r="2607">
          <cell r="B2607">
            <v>36168</v>
          </cell>
          <cell r="C2607">
            <v>1543.22</v>
          </cell>
        </row>
        <row r="2608">
          <cell r="B2608">
            <v>36169</v>
          </cell>
          <cell r="C2608">
            <v>1535.96</v>
          </cell>
        </row>
        <row r="2609">
          <cell r="B2609">
            <v>36170</v>
          </cell>
          <cell r="C2609">
            <v>1535.96</v>
          </cell>
        </row>
        <row r="2610">
          <cell r="B2610">
            <v>36171</v>
          </cell>
          <cell r="C2610">
            <v>1535.96</v>
          </cell>
        </row>
        <row r="2611">
          <cell r="B2611">
            <v>36172</v>
          </cell>
          <cell r="C2611">
            <v>1535.96</v>
          </cell>
        </row>
        <row r="2612">
          <cell r="B2612">
            <v>36173</v>
          </cell>
          <cell r="C2612">
            <v>1549.35</v>
          </cell>
        </row>
        <row r="2613">
          <cell r="B2613">
            <v>36174</v>
          </cell>
          <cell r="C2613">
            <v>1588.8</v>
          </cell>
        </row>
        <row r="2614">
          <cell r="B2614">
            <v>36175</v>
          </cell>
          <cell r="C2614">
            <v>1584.42</v>
          </cell>
        </row>
        <row r="2615">
          <cell r="B2615">
            <v>36176</v>
          </cell>
          <cell r="C2615">
            <v>1596.59</v>
          </cell>
        </row>
        <row r="2616">
          <cell r="B2616">
            <v>36177</v>
          </cell>
          <cell r="C2616">
            <v>1596.59</v>
          </cell>
        </row>
        <row r="2617">
          <cell r="B2617">
            <v>36178</v>
          </cell>
          <cell r="C2617">
            <v>1596.59</v>
          </cell>
        </row>
        <row r="2618">
          <cell r="B2618">
            <v>36179</v>
          </cell>
          <cell r="C2618">
            <v>1580.4</v>
          </cell>
        </row>
        <row r="2619">
          <cell r="B2619">
            <v>36180</v>
          </cell>
          <cell r="C2619">
            <v>1587.18</v>
          </cell>
        </row>
        <row r="2620">
          <cell r="B2620">
            <v>36181</v>
          </cell>
          <cell r="C2620">
            <v>1582.57</v>
          </cell>
        </row>
        <row r="2621">
          <cell r="B2621">
            <v>36182</v>
          </cell>
          <cell r="C2621">
            <v>1589.65</v>
          </cell>
        </row>
        <row r="2622">
          <cell r="B2622">
            <v>36183</v>
          </cell>
          <cell r="C2622">
            <v>1591.81</v>
          </cell>
        </row>
        <row r="2623">
          <cell r="B2623">
            <v>36184</v>
          </cell>
          <cell r="C2623">
            <v>1591.81</v>
          </cell>
        </row>
        <row r="2624">
          <cell r="B2624">
            <v>36185</v>
          </cell>
          <cell r="C2624">
            <v>1591.81</v>
          </cell>
        </row>
        <row r="2625">
          <cell r="B2625">
            <v>36186</v>
          </cell>
          <cell r="C2625">
            <v>1591.58</v>
          </cell>
        </row>
        <row r="2626">
          <cell r="B2626">
            <v>36187</v>
          </cell>
          <cell r="C2626">
            <v>1591.69</v>
          </cell>
        </row>
        <row r="2627">
          <cell r="B2627">
            <v>36188</v>
          </cell>
          <cell r="C2627">
            <v>1590.33</v>
          </cell>
        </row>
        <row r="2628">
          <cell r="B2628">
            <v>36189</v>
          </cell>
          <cell r="C2628">
            <v>1580.72</v>
          </cell>
        </row>
        <row r="2629">
          <cell r="B2629">
            <v>36190</v>
          </cell>
          <cell r="C2629">
            <v>1582.9</v>
          </cell>
        </row>
        <row r="2630">
          <cell r="B2630">
            <v>36191</v>
          </cell>
          <cell r="C2630">
            <v>1582.9</v>
          </cell>
        </row>
        <row r="2631">
          <cell r="B2631">
            <v>36192</v>
          </cell>
          <cell r="C2631">
            <v>1582.9</v>
          </cell>
        </row>
        <row r="2632">
          <cell r="B2632">
            <v>36193</v>
          </cell>
          <cell r="C2632">
            <v>1581.27</v>
          </cell>
        </row>
        <row r="2633">
          <cell r="B2633">
            <v>36194</v>
          </cell>
          <cell r="C2633">
            <v>1576.22</v>
          </cell>
        </row>
        <row r="2634">
          <cell r="B2634">
            <v>36195</v>
          </cell>
          <cell r="C2634">
            <v>1574.07</v>
          </cell>
        </row>
        <row r="2635">
          <cell r="B2635">
            <v>36196</v>
          </cell>
          <cell r="C2635">
            <v>1575.69</v>
          </cell>
        </row>
        <row r="2636">
          <cell r="B2636">
            <v>36197</v>
          </cell>
          <cell r="C2636">
            <v>1570.94</v>
          </cell>
        </row>
        <row r="2637">
          <cell r="B2637">
            <v>36198</v>
          </cell>
          <cell r="C2637">
            <v>1570.94</v>
          </cell>
        </row>
        <row r="2638">
          <cell r="B2638">
            <v>36199</v>
          </cell>
          <cell r="C2638">
            <v>1570.94</v>
          </cell>
        </row>
        <row r="2639">
          <cell r="B2639">
            <v>36200</v>
          </cell>
          <cell r="C2639">
            <v>1562.14</v>
          </cell>
        </row>
        <row r="2640">
          <cell r="B2640">
            <v>36201</v>
          </cell>
          <cell r="C2640">
            <v>1563.39</v>
          </cell>
        </row>
        <row r="2641">
          <cell r="B2641">
            <v>36202</v>
          </cell>
          <cell r="C2641">
            <v>1570.81</v>
          </cell>
        </row>
        <row r="2642">
          <cell r="B2642">
            <v>36203</v>
          </cell>
          <cell r="C2642">
            <v>1564.04</v>
          </cell>
        </row>
        <row r="2643">
          <cell r="B2643">
            <v>36204</v>
          </cell>
          <cell r="C2643">
            <v>1565.57</v>
          </cell>
        </row>
        <row r="2644">
          <cell r="B2644">
            <v>36205</v>
          </cell>
          <cell r="C2644">
            <v>1565.57</v>
          </cell>
        </row>
        <row r="2645">
          <cell r="B2645">
            <v>36206</v>
          </cell>
          <cell r="C2645">
            <v>1565.57</v>
          </cell>
        </row>
        <row r="2646">
          <cell r="B2646">
            <v>36207</v>
          </cell>
          <cell r="C2646">
            <v>1557.79</v>
          </cell>
        </row>
        <row r="2647">
          <cell r="B2647">
            <v>36208</v>
          </cell>
          <cell r="C2647">
            <v>1561.53</v>
          </cell>
        </row>
        <row r="2648">
          <cell r="B2648">
            <v>36209</v>
          </cell>
          <cell r="C2648">
            <v>1569.4</v>
          </cell>
        </row>
        <row r="2649">
          <cell r="B2649">
            <v>36210</v>
          </cell>
          <cell r="C2649">
            <v>1567.17</v>
          </cell>
        </row>
        <row r="2650">
          <cell r="B2650">
            <v>36211</v>
          </cell>
          <cell r="C2650">
            <v>1560.46</v>
          </cell>
        </row>
        <row r="2651">
          <cell r="B2651">
            <v>36212</v>
          </cell>
          <cell r="C2651">
            <v>1560.46</v>
          </cell>
        </row>
        <row r="2652">
          <cell r="B2652">
            <v>36213</v>
          </cell>
          <cell r="C2652">
            <v>1560.46</v>
          </cell>
        </row>
        <row r="2653">
          <cell r="B2653">
            <v>36214</v>
          </cell>
          <cell r="C2653">
            <v>1556.65</v>
          </cell>
        </row>
        <row r="2654">
          <cell r="B2654">
            <v>36215</v>
          </cell>
          <cell r="C2654">
            <v>1550.88</v>
          </cell>
        </row>
        <row r="2655">
          <cell r="B2655">
            <v>36216</v>
          </cell>
          <cell r="C2655">
            <v>1557.97</v>
          </cell>
        </row>
        <row r="2656">
          <cell r="B2656">
            <v>36217</v>
          </cell>
          <cell r="C2656">
            <v>1572.46</v>
          </cell>
        </row>
        <row r="2657">
          <cell r="B2657">
            <v>36218</v>
          </cell>
          <cell r="C2657">
            <v>1568.3</v>
          </cell>
        </row>
        <row r="2658">
          <cell r="B2658">
            <v>36219</v>
          </cell>
          <cell r="C2658">
            <v>1568.3</v>
          </cell>
        </row>
        <row r="2659">
          <cell r="B2659">
            <v>36220</v>
          </cell>
          <cell r="C2659">
            <v>1568.3</v>
          </cell>
        </row>
        <row r="2660">
          <cell r="B2660">
            <v>36221</v>
          </cell>
          <cell r="C2660">
            <v>1560.4</v>
          </cell>
        </row>
        <row r="2661">
          <cell r="B2661">
            <v>36222</v>
          </cell>
          <cell r="C2661">
            <v>1557.94</v>
          </cell>
        </row>
        <row r="2662">
          <cell r="B2662">
            <v>36223</v>
          </cell>
          <cell r="C2662">
            <v>1558.66</v>
          </cell>
        </row>
        <row r="2663">
          <cell r="B2663">
            <v>36224</v>
          </cell>
          <cell r="C2663">
            <v>1555.84</v>
          </cell>
        </row>
        <row r="2664">
          <cell r="B2664">
            <v>36225</v>
          </cell>
          <cell r="C2664">
            <v>1552.37</v>
          </cell>
        </row>
        <row r="2665">
          <cell r="B2665">
            <v>36226</v>
          </cell>
          <cell r="C2665">
            <v>1552.37</v>
          </cell>
        </row>
        <row r="2666">
          <cell r="B2666">
            <v>36227</v>
          </cell>
          <cell r="C2666">
            <v>1552.37</v>
          </cell>
        </row>
        <row r="2667">
          <cell r="B2667">
            <v>36228</v>
          </cell>
          <cell r="C2667">
            <v>1552.44</v>
          </cell>
        </row>
        <row r="2668">
          <cell r="B2668">
            <v>36229</v>
          </cell>
          <cell r="C2668">
            <v>1550.33</v>
          </cell>
        </row>
        <row r="2669">
          <cell r="B2669">
            <v>36230</v>
          </cell>
          <cell r="C2669">
            <v>1545.09</v>
          </cell>
        </row>
        <row r="2670">
          <cell r="B2670">
            <v>36231</v>
          </cell>
          <cell r="C2670">
            <v>1552.28</v>
          </cell>
        </row>
        <row r="2671">
          <cell r="B2671">
            <v>36232</v>
          </cell>
          <cell r="C2671">
            <v>1562.91</v>
          </cell>
        </row>
        <row r="2672">
          <cell r="B2672">
            <v>36233</v>
          </cell>
          <cell r="C2672">
            <v>1562.91</v>
          </cell>
        </row>
        <row r="2673">
          <cell r="B2673">
            <v>36234</v>
          </cell>
          <cell r="C2673">
            <v>1562.91</v>
          </cell>
        </row>
        <row r="2674">
          <cell r="B2674">
            <v>36235</v>
          </cell>
          <cell r="C2674">
            <v>1563.97</v>
          </cell>
        </row>
        <row r="2675">
          <cell r="B2675">
            <v>36236</v>
          </cell>
          <cell r="C2675">
            <v>1561.74</v>
          </cell>
        </row>
        <row r="2676">
          <cell r="B2676">
            <v>36237</v>
          </cell>
          <cell r="C2676">
            <v>1554.85</v>
          </cell>
        </row>
        <row r="2677">
          <cell r="B2677">
            <v>36238</v>
          </cell>
          <cell r="C2677">
            <v>1550.03</v>
          </cell>
        </row>
        <row r="2678">
          <cell r="B2678">
            <v>36239</v>
          </cell>
          <cell r="C2678">
            <v>1546.77</v>
          </cell>
        </row>
        <row r="2679">
          <cell r="B2679">
            <v>36240</v>
          </cell>
          <cell r="C2679">
            <v>1546.77</v>
          </cell>
        </row>
        <row r="2680">
          <cell r="B2680">
            <v>36241</v>
          </cell>
          <cell r="C2680">
            <v>1546.77</v>
          </cell>
        </row>
        <row r="2681">
          <cell r="B2681">
            <v>36242</v>
          </cell>
          <cell r="C2681">
            <v>1546.77</v>
          </cell>
        </row>
        <row r="2682">
          <cell r="B2682">
            <v>36243</v>
          </cell>
          <cell r="C2682">
            <v>1544.6</v>
          </cell>
        </row>
        <row r="2683">
          <cell r="B2683">
            <v>36244</v>
          </cell>
          <cell r="C2683">
            <v>1541.74</v>
          </cell>
        </row>
        <row r="2684">
          <cell r="B2684">
            <v>36245</v>
          </cell>
          <cell r="C2684">
            <v>1534.28</v>
          </cell>
        </row>
        <row r="2685">
          <cell r="B2685">
            <v>36246</v>
          </cell>
          <cell r="C2685">
            <v>1525.59</v>
          </cell>
        </row>
        <row r="2686">
          <cell r="B2686">
            <v>36247</v>
          </cell>
          <cell r="C2686">
            <v>1525.59</v>
          </cell>
        </row>
        <row r="2687">
          <cell r="B2687">
            <v>36248</v>
          </cell>
          <cell r="C2687">
            <v>1525.59</v>
          </cell>
        </row>
        <row r="2688">
          <cell r="B2688">
            <v>36249</v>
          </cell>
          <cell r="C2688">
            <v>1529.59</v>
          </cell>
        </row>
        <row r="2689">
          <cell r="B2689">
            <v>36250</v>
          </cell>
          <cell r="C2689">
            <v>1533.51</v>
          </cell>
        </row>
        <row r="2690">
          <cell r="B2690">
            <v>36251</v>
          </cell>
          <cell r="C2690">
            <v>1533.32</v>
          </cell>
        </row>
        <row r="2691">
          <cell r="B2691">
            <v>36252</v>
          </cell>
          <cell r="C2691">
            <v>1533.32</v>
          </cell>
        </row>
        <row r="2692">
          <cell r="B2692">
            <v>36253</v>
          </cell>
          <cell r="C2692">
            <v>1533.32</v>
          </cell>
        </row>
        <row r="2693">
          <cell r="B2693">
            <v>36254</v>
          </cell>
          <cell r="C2693">
            <v>1533.32</v>
          </cell>
        </row>
        <row r="2694">
          <cell r="B2694">
            <v>36255</v>
          </cell>
          <cell r="C2694">
            <v>1533.32</v>
          </cell>
        </row>
        <row r="2695">
          <cell r="B2695">
            <v>36256</v>
          </cell>
          <cell r="C2695">
            <v>1532.48</v>
          </cell>
        </row>
        <row r="2696">
          <cell r="B2696">
            <v>36257</v>
          </cell>
          <cell r="C2696">
            <v>1534.13</v>
          </cell>
        </row>
        <row r="2697">
          <cell r="B2697">
            <v>36258</v>
          </cell>
          <cell r="C2697">
            <v>1548.14</v>
          </cell>
        </row>
        <row r="2698">
          <cell r="B2698">
            <v>36259</v>
          </cell>
          <cell r="C2698">
            <v>1574.77</v>
          </cell>
        </row>
        <row r="2699">
          <cell r="B2699">
            <v>36260</v>
          </cell>
          <cell r="C2699">
            <v>1588.17</v>
          </cell>
        </row>
        <row r="2700">
          <cell r="B2700">
            <v>36261</v>
          </cell>
          <cell r="C2700">
            <v>1588.17</v>
          </cell>
        </row>
        <row r="2701">
          <cell r="B2701">
            <v>36262</v>
          </cell>
          <cell r="C2701">
            <v>1588.17</v>
          </cell>
        </row>
        <row r="2702">
          <cell r="B2702">
            <v>36263</v>
          </cell>
          <cell r="C2702">
            <v>1588.19</v>
          </cell>
        </row>
        <row r="2703">
          <cell r="B2703">
            <v>36264</v>
          </cell>
          <cell r="C2703">
            <v>1603.95</v>
          </cell>
        </row>
        <row r="2704">
          <cell r="B2704">
            <v>36265</v>
          </cell>
          <cell r="C2704">
            <v>1593.17</v>
          </cell>
        </row>
        <row r="2705">
          <cell r="B2705">
            <v>36266</v>
          </cell>
          <cell r="C2705">
            <v>1586.04</v>
          </cell>
        </row>
        <row r="2706">
          <cell r="B2706">
            <v>36267</v>
          </cell>
          <cell r="C2706">
            <v>1578.93</v>
          </cell>
        </row>
        <row r="2707">
          <cell r="B2707">
            <v>36268</v>
          </cell>
          <cell r="C2707">
            <v>1578.93</v>
          </cell>
        </row>
        <row r="2708">
          <cell r="B2708">
            <v>36269</v>
          </cell>
          <cell r="C2708">
            <v>1578.93</v>
          </cell>
        </row>
        <row r="2709">
          <cell r="B2709">
            <v>36270</v>
          </cell>
          <cell r="C2709">
            <v>1570.53</v>
          </cell>
        </row>
        <row r="2710">
          <cell r="B2710">
            <v>36271</v>
          </cell>
          <cell r="C2710">
            <v>1563.94</v>
          </cell>
        </row>
        <row r="2711">
          <cell r="B2711">
            <v>36272</v>
          </cell>
          <cell r="C2711">
            <v>1570.34</v>
          </cell>
        </row>
        <row r="2712">
          <cell r="B2712">
            <v>36273</v>
          </cell>
          <cell r="C2712">
            <v>1573.86</v>
          </cell>
        </row>
        <row r="2713">
          <cell r="B2713">
            <v>36274</v>
          </cell>
          <cell r="C2713">
            <v>1578.98</v>
          </cell>
        </row>
        <row r="2714">
          <cell r="B2714">
            <v>36275</v>
          </cell>
          <cell r="C2714">
            <v>1578.98</v>
          </cell>
        </row>
        <row r="2715">
          <cell r="B2715">
            <v>36276</v>
          </cell>
          <cell r="C2715">
            <v>1578.98</v>
          </cell>
        </row>
        <row r="2716">
          <cell r="B2716">
            <v>36277</v>
          </cell>
          <cell r="C2716">
            <v>1580.78</v>
          </cell>
        </row>
        <row r="2717">
          <cell r="B2717">
            <v>36278</v>
          </cell>
          <cell r="C2717">
            <v>1590.53</v>
          </cell>
        </row>
        <row r="2718">
          <cell r="B2718">
            <v>36279</v>
          </cell>
          <cell r="C2718">
            <v>1598.69</v>
          </cell>
        </row>
        <row r="2719">
          <cell r="B2719">
            <v>36280</v>
          </cell>
          <cell r="C2719">
            <v>1604.44</v>
          </cell>
        </row>
        <row r="2720">
          <cell r="B2720">
            <v>36281</v>
          </cell>
          <cell r="C2720">
            <v>1611.48</v>
          </cell>
        </row>
        <row r="2721">
          <cell r="B2721">
            <v>36282</v>
          </cell>
          <cell r="C2721">
            <v>1611.48</v>
          </cell>
        </row>
        <row r="2722">
          <cell r="B2722">
            <v>36283</v>
          </cell>
          <cell r="C2722">
            <v>1611.48</v>
          </cell>
        </row>
        <row r="2723">
          <cell r="B2723">
            <v>36284</v>
          </cell>
          <cell r="C2723">
            <v>1613.61</v>
          </cell>
        </row>
        <row r="2724">
          <cell r="B2724">
            <v>36285</v>
          </cell>
          <cell r="C2724">
            <v>1603.97</v>
          </cell>
        </row>
        <row r="2725">
          <cell r="B2725">
            <v>36286</v>
          </cell>
          <cell r="C2725">
            <v>1610.66</v>
          </cell>
        </row>
        <row r="2726">
          <cell r="B2726">
            <v>36287</v>
          </cell>
          <cell r="C2726">
            <v>1618</v>
          </cell>
        </row>
        <row r="2727">
          <cell r="B2727">
            <v>36288</v>
          </cell>
          <cell r="C2727">
            <v>1631.71</v>
          </cell>
        </row>
        <row r="2728">
          <cell r="B2728">
            <v>36289</v>
          </cell>
          <cell r="C2728">
            <v>1631.71</v>
          </cell>
        </row>
        <row r="2729">
          <cell r="B2729">
            <v>36290</v>
          </cell>
          <cell r="C2729">
            <v>1631.71</v>
          </cell>
        </row>
        <row r="2730">
          <cell r="B2730">
            <v>36291</v>
          </cell>
          <cell r="C2730">
            <v>1627.3</v>
          </cell>
        </row>
        <row r="2731">
          <cell r="B2731">
            <v>36292</v>
          </cell>
          <cell r="C2731">
            <v>1631.02</v>
          </cell>
        </row>
        <row r="2732">
          <cell r="B2732">
            <v>36293</v>
          </cell>
          <cell r="C2732">
            <v>1631.95</v>
          </cell>
        </row>
        <row r="2733">
          <cell r="B2733">
            <v>36294</v>
          </cell>
          <cell r="C2733">
            <v>1630.08</v>
          </cell>
        </row>
        <row r="2734">
          <cell r="B2734">
            <v>36295</v>
          </cell>
          <cell r="C2734">
            <v>1640.15</v>
          </cell>
        </row>
        <row r="2735">
          <cell r="B2735">
            <v>36296</v>
          </cell>
          <cell r="C2735">
            <v>1640.15</v>
          </cell>
        </row>
        <row r="2736">
          <cell r="B2736">
            <v>36297</v>
          </cell>
          <cell r="C2736">
            <v>1640.15</v>
          </cell>
        </row>
        <row r="2737">
          <cell r="B2737">
            <v>36298</v>
          </cell>
          <cell r="C2737">
            <v>1640.15</v>
          </cell>
        </row>
        <row r="2738">
          <cell r="B2738">
            <v>36299</v>
          </cell>
          <cell r="C2738">
            <v>1644.11</v>
          </cell>
        </row>
        <row r="2739">
          <cell r="B2739">
            <v>36300</v>
          </cell>
          <cell r="C2739">
            <v>1643.05</v>
          </cell>
        </row>
        <row r="2740">
          <cell r="B2740">
            <v>36301</v>
          </cell>
          <cell r="C2740">
            <v>1644.6</v>
          </cell>
        </row>
        <row r="2741">
          <cell r="B2741">
            <v>36302</v>
          </cell>
          <cell r="C2741">
            <v>1665.36</v>
          </cell>
        </row>
        <row r="2742">
          <cell r="B2742">
            <v>36303</v>
          </cell>
          <cell r="C2742">
            <v>1665.36</v>
          </cell>
        </row>
        <row r="2743">
          <cell r="B2743">
            <v>36304</v>
          </cell>
          <cell r="C2743">
            <v>1665.36</v>
          </cell>
        </row>
        <row r="2744">
          <cell r="B2744">
            <v>36305</v>
          </cell>
          <cell r="C2744">
            <v>1671.2</v>
          </cell>
        </row>
        <row r="2745">
          <cell r="B2745">
            <v>36306</v>
          </cell>
          <cell r="C2745">
            <v>1669.27</v>
          </cell>
        </row>
        <row r="2746">
          <cell r="B2746">
            <v>36307</v>
          </cell>
          <cell r="C2746">
            <v>1682.12</v>
          </cell>
        </row>
        <row r="2747">
          <cell r="B2747">
            <v>36308</v>
          </cell>
          <cell r="C2747">
            <v>1685.33</v>
          </cell>
        </row>
        <row r="2748">
          <cell r="B2748">
            <v>36309</v>
          </cell>
          <cell r="C2748">
            <v>1671.67</v>
          </cell>
        </row>
        <row r="2749">
          <cell r="B2749">
            <v>36310</v>
          </cell>
          <cell r="C2749">
            <v>1671.67</v>
          </cell>
        </row>
        <row r="2750">
          <cell r="B2750">
            <v>36311</v>
          </cell>
          <cell r="C2750">
            <v>1671.67</v>
          </cell>
        </row>
        <row r="2751">
          <cell r="B2751">
            <v>36312</v>
          </cell>
          <cell r="C2751">
            <v>1663.55</v>
          </cell>
        </row>
        <row r="2752">
          <cell r="B2752">
            <v>36313</v>
          </cell>
          <cell r="C2752">
            <v>1657.7</v>
          </cell>
        </row>
        <row r="2753">
          <cell r="B2753">
            <v>36314</v>
          </cell>
          <cell r="C2753">
            <v>1667.88</v>
          </cell>
        </row>
        <row r="2754">
          <cell r="B2754">
            <v>36315</v>
          </cell>
          <cell r="C2754">
            <v>1654.75</v>
          </cell>
        </row>
        <row r="2755">
          <cell r="B2755">
            <v>36316</v>
          </cell>
          <cell r="C2755">
            <v>1653.96</v>
          </cell>
        </row>
        <row r="2756">
          <cell r="B2756">
            <v>36317</v>
          </cell>
          <cell r="C2756">
            <v>1653.96</v>
          </cell>
        </row>
        <row r="2757">
          <cell r="B2757">
            <v>36318</v>
          </cell>
          <cell r="C2757">
            <v>1653.96</v>
          </cell>
        </row>
        <row r="2758">
          <cell r="B2758">
            <v>36319</v>
          </cell>
          <cell r="C2758">
            <v>1653.96</v>
          </cell>
        </row>
        <row r="2759">
          <cell r="B2759">
            <v>36320</v>
          </cell>
          <cell r="C2759">
            <v>1672.01</v>
          </cell>
        </row>
        <row r="2760">
          <cell r="B2760">
            <v>36321</v>
          </cell>
          <cell r="C2760">
            <v>1679.12</v>
          </cell>
        </row>
        <row r="2761">
          <cell r="B2761">
            <v>36322</v>
          </cell>
          <cell r="C2761">
            <v>1686.08</v>
          </cell>
        </row>
        <row r="2762">
          <cell r="B2762">
            <v>36323</v>
          </cell>
          <cell r="C2762">
            <v>1682.09</v>
          </cell>
        </row>
        <row r="2763">
          <cell r="B2763">
            <v>36324</v>
          </cell>
          <cell r="C2763">
            <v>1682.09</v>
          </cell>
        </row>
        <row r="2764">
          <cell r="B2764">
            <v>36325</v>
          </cell>
          <cell r="C2764">
            <v>1682.09</v>
          </cell>
        </row>
        <row r="2765">
          <cell r="B2765">
            <v>36326</v>
          </cell>
          <cell r="C2765">
            <v>1682.09</v>
          </cell>
        </row>
        <row r="2766">
          <cell r="B2766">
            <v>36327</v>
          </cell>
          <cell r="C2766">
            <v>1694.56</v>
          </cell>
        </row>
        <row r="2767">
          <cell r="B2767">
            <v>36328</v>
          </cell>
          <cell r="C2767">
            <v>1698.55</v>
          </cell>
        </row>
        <row r="2768">
          <cell r="B2768">
            <v>36329</v>
          </cell>
          <cell r="C2768">
            <v>1693.75</v>
          </cell>
        </row>
        <row r="2769">
          <cell r="B2769">
            <v>36330</v>
          </cell>
          <cell r="C2769">
            <v>1692.36</v>
          </cell>
        </row>
        <row r="2770">
          <cell r="B2770">
            <v>36331</v>
          </cell>
          <cell r="C2770">
            <v>1692.36</v>
          </cell>
        </row>
        <row r="2771">
          <cell r="B2771">
            <v>36332</v>
          </cell>
          <cell r="C2771">
            <v>1692.36</v>
          </cell>
        </row>
        <row r="2772">
          <cell r="B2772">
            <v>36333</v>
          </cell>
          <cell r="C2772">
            <v>1694.26</v>
          </cell>
        </row>
        <row r="2773">
          <cell r="B2773">
            <v>36334</v>
          </cell>
          <cell r="C2773">
            <v>1710.03</v>
          </cell>
        </row>
        <row r="2774">
          <cell r="B2774">
            <v>36335</v>
          </cell>
          <cell r="C2774">
            <v>1723.26</v>
          </cell>
        </row>
        <row r="2775">
          <cell r="B2775">
            <v>36336</v>
          </cell>
          <cell r="C2775">
            <v>1734.83</v>
          </cell>
        </row>
        <row r="2776">
          <cell r="B2776">
            <v>36337</v>
          </cell>
          <cell r="C2776">
            <v>1737.91</v>
          </cell>
        </row>
        <row r="2777">
          <cell r="B2777">
            <v>36338</v>
          </cell>
          <cell r="C2777">
            <v>1737.91</v>
          </cell>
        </row>
        <row r="2778">
          <cell r="B2778">
            <v>36339</v>
          </cell>
          <cell r="C2778">
            <v>1737.91</v>
          </cell>
        </row>
        <row r="2779">
          <cell r="B2779">
            <v>36340</v>
          </cell>
          <cell r="C2779">
            <v>1751</v>
          </cell>
        </row>
        <row r="2780">
          <cell r="B2780">
            <v>36341</v>
          </cell>
          <cell r="C2780">
            <v>1732.1</v>
          </cell>
        </row>
        <row r="2781">
          <cell r="B2781">
            <v>36342</v>
          </cell>
          <cell r="C2781">
            <v>1736.03</v>
          </cell>
        </row>
        <row r="2782">
          <cell r="B2782">
            <v>36343</v>
          </cell>
          <cell r="C2782">
            <v>1751.26</v>
          </cell>
        </row>
        <row r="2783">
          <cell r="B2783">
            <v>36344</v>
          </cell>
          <cell r="C2783">
            <v>1755.31</v>
          </cell>
        </row>
        <row r="2784">
          <cell r="B2784">
            <v>36345</v>
          </cell>
          <cell r="C2784">
            <v>1755.31</v>
          </cell>
        </row>
        <row r="2785">
          <cell r="B2785">
            <v>36346</v>
          </cell>
          <cell r="C2785">
            <v>1755.31</v>
          </cell>
        </row>
        <row r="2786">
          <cell r="B2786">
            <v>36347</v>
          </cell>
          <cell r="C2786">
            <v>1755.31</v>
          </cell>
        </row>
        <row r="2787">
          <cell r="B2787">
            <v>36348</v>
          </cell>
          <cell r="C2787">
            <v>1772.69</v>
          </cell>
        </row>
        <row r="2788">
          <cell r="B2788">
            <v>36349</v>
          </cell>
          <cell r="C2788">
            <v>1795.36</v>
          </cell>
        </row>
        <row r="2789">
          <cell r="B2789">
            <v>36350</v>
          </cell>
          <cell r="C2789">
            <v>1831.1</v>
          </cell>
        </row>
        <row r="2790">
          <cell r="B2790">
            <v>36351</v>
          </cell>
          <cell r="C2790">
            <v>1840.38</v>
          </cell>
        </row>
        <row r="2791">
          <cell r="B2791">
            <v>36352</v>
          </cell>
          <cell r="C2791">
            <v>1840.38</v>
          </cell>
        </row>
        <row r="2792">
          <cell r="B2792">
            <v>36353</v>
          </cell>
          <cell r="C2792">
            <v>1840.38</v>
          </cell>
        </row>
        <row r="2793">
          <cell r="B2793">
            <v>36354</v>
          </cell>
          <cell r="C2793">
            <v>1887.17</v>
          </cell>
        </row>
        <row r="2794">
          <cell r="B2794">
            <v>36355</v>
          </cell>
          <cell r="C2794">
            <v>1926.55</v>
          </cell>
        </row>
        <row r="2795">
          <cell r="B2795">
            <v>36356</v>
          </cell>
          <cell r="C2795">
            <v>1881.42</v>
          </cell>
        </row>
        <row r="2796">
          <cell r="B2796">
            <v>36357</v>
          </cell>
          <cell r="C2796">
            <v>1823.29</v>
          </cell>
        </row>
        <row r="2797">
          <cell r="B2797">
            <v>36358</v>
          </cell>
          <cell r="C2797">
            <v>1821.95</v>
          </cell>
        </row>
        <row r="2798">
          <cell r="B2798">
            <v>36359</v>
          </cell>
          <cell r="C2798">
            <v>1821.95</v>
          </cell>
        </row>
        <row r="2799">
          <cell r="B2799">
            <v>36360</v>
          </cell>
          <cell r="C2799">
            <v>1821.95</v>
          </cell>
        </row>
        <row r="2800">
          <cell r="B2800">
            <v>36361</v>
          </cell>
          <cell r="C2800">
            <v>1819.04</v>
          </cell>
        </row>
        <row r="2801">
          <cell r="B2801">
            <v>36362</v>
          </cell>
          <cell r="C2801">
            <v>1819.04</v>
          </cell>
        </row>
        <row r="2802">
          <cell r="B2802">
            <v>36363</v>
          </cell>
          <cell r="C2802">
            <v>1809.56</v>
          </cell>
        </row>
        <row r="2803">
          <cell r="B2803">
            <v>36364</v>
          </cell>
          <cell r="C2803">
            <v>1807.9</v>
          </cell>
        </row>
        <row r="2804">
          <cell r="B2804">
            <v>36365</v>
          </cell>
          <cell r="C2804">
            <v>1831.19</v>
          </cell>
        </row>
        <row r="2805">
          <cell r="B2805">
            <v>36366</v>
          </cell>
          <cell r="C2805">
            <v>1831.19</v>
          </cell>
        </row>
        <row r="2806">
          <cell r="B2806">
            <v>36367</v>
          </cell>
          <cell r="C2806">
            <v>1831.19</v>
          </cell>
        </row>
        <row r="2807">
          <cell r="B2807">
            <v>36368</v>
          </cell>
          <cell r="C2807">
            <v>1829.63</v>
          </cell>
        </row>
        <row r="2808">
          <cell r="B2808">
            <v>36369</v>
          </cell>
          <cell r="C2808">
            <v>1829.06</v>
          </cell>
        </row>
        <row r="2809">
          <cell r="B2809">
            <v>36370</v>
          </cell>
          <cell r="C2809">
            <v>1817.09</v>
          </cell>
        </row>
        <row r="2810">
          <cell r="B2810">
            <v>36371</v>
          </cell>
          <cell r="C2810">
            <v>1806.52</v>
          </cell>
        </row>
        <row r="2811">
          <cell r="B2811">
            <v>36372</v>
          </cell>
          <cell r="C2811">
            <v>1809.5</v>
          </cell>
        </row>
        <row r="2812">
          <cell r="B2812">
            <v>36373</v>
          </cell>
          <cell r="C2812">
            <v>1809.5</v>
          </cell>
        </row>
        <row r="2813">
          <cell r="B2813">
            <v>36374</v>
          </cell>
          <cell r="C2813">
            <v>1809.5</v>
          </cell>
        </row>
        <row r="2814">
          <cell r="B2814">
            <v>36375</v>
          </cell>
          <cell r="C2814">
            <v>1813.6</v>
          </cell>
        </row>
        <row r="2815">
          <cell r="B2815">
            <v>36376</v>
          </cell>
          <cell r="C2815">
            <v>1800.79</v>
          </cell>
        </row>
        <row r="2816">
          <cell r="B2816">
            <v>36377</v>
          </cell>
          <cell r="C2816">
            <v>1822.84</v>
          </cell>
        </row>
        <row r="2817">
          <cell r="B2817">
            <v>36378</v>
          </cell>
          <cell r="C2817">
            <v>1834.97</v>
          </cell>
        </row>
        <row r="2818">
          <cell r="B2818">
            <v>36379</v>
          </cell>
          <cell r="C2818">
            <v>1849.12</v>
          </cell>
        </row>
        <row r="2819">
          <cell r="B2819">
            <v>36380</v>
          </cell>
          <cell r="C2819">
            <v>1849.12</v>
          </cell>
        </row>
        <row r="2820">
          <cell r="B2820">
            <v>36381</v>
          </cell>
          <cell r="C2820">
            <v>1849.12</v>
          </cell>
        </row>
        <row r="2821">
          <cell r="B2821">
            <v>36382</v>
          </cell>
          <cell r="C2821">
            <v>1852.8</v>
          </cell>
        </row>
        <row r="2822">
          <cell r="B2822">
            <v>36383</v>
          </cell>
          <cell r="C2822">
            <v>1855.03</v>
          </cell>
        </row>
        <row r="2823">
          <cell r="B2823">
            <v>36384</v>
          </cell>
          <cell r="C2823">
            <v>1865.3</v>
          </cell>
        </row>
        <row r="2824">
          <cell r="B2824">
            <v>36385</v>
          </cell>
          <cell r="C2824">
            <v>1893.25</v>
          </cell>
        </row>
        <row r="2825">
          <cell r="B2825">
            <v>36386</v>
          </cell>
          <cell r="C2825">
            <v>1879.15</v>
          </cell>
        </row>
        <row r="2826">
          <cell r="B2826">
            <v>36387</v>
          </cell>
          <cell r="C2826">
            <v>1879.15</v>
          </cell>
        </row>
        <row r="2827">
          <cell r="B2827">
            <v>36388</v>
          </cell>
          <cell r="C2827">
            <v>1879.15</v>
          </cell>
        </row>
        <row r="2828">
          <cell r="B2828">
            <v>36389</v>
          </cell>
          <cell r="C2828">
            <v>1879.15</v>
          </cell>
        </row>
        <row r="2829">
          <cell r="B2829">
            <v>36390</v>
          </cell>
          <cell r="C2829">
            <v>1880.39</v>
          </cell>
        </row>
        <row r="2830">
          <cell r="B2830">
            <v>36391</v>
          </cell>
          <cell r="C2830">
            <v>1898.03</v>
          </cell>
        </row>
        <row r="2831">
          <cell r="B2831">
            <v>36392</v>
          </cell>
          <cell r="C2831">
            <v>1892.5</v>
          </cell>
        </row>
        <row r="2832">
          <cell r="B2832">
            <v>36393</v>
          </cell>
          <cell r="C2832">
            <v>1907.94</v>
          </cell>
        </row>
        <row r="2833">
          <cell r="B2833">
            <v>36394</v>
          </cell>
          <cell r="C2833">
            <v>1907.94</v>
          </cell>
        </row>
        <row r="2834">
          <cell r="B2834">
            <v>36395</v>
          </cell>
          <cell r="C2834">
            <v>1907.94</v>
          </cell>
        </row>
        <row r="2835">
          <cell r="B2835">
            <v>36396</v>
          </cell>
          <cell r="C2835">
            <v>1912.27</v>
          </cell>
        </row>
        <row r="2836">
          <cell r="B2836">
            <v>36397</v>
          </cell>
          <cell r="C2836">
            <v>1921.87</v>
          </cell>
        </row>
        <row r="2837">
          <cell r="B2837">
            <v>36398</v>
          </cell>
          <cell r="C2837">
            <v>1921.16</v>
          </cell>
        </row>
        <row r="2838">
          <cell r="B2838">
            <v>36399</v>
          </cell>
          <cell r="C2838">
            <v>1914.22</v>
          </cell>
        </row>
        <row r="2839">
          <cell r="B2839">
            <v>36400</v>
          </cell>
          <cell r="C2839">
            <v>1936.12</v>
          </cell>
        </row>
        <row r="2840">
          <cell r="B2840">
            <v>36401</v>
          </cell>
          <cell r="C2840">
            <v>1936.12</v>
          </cell>
        </row>
        <row r="2841">
          <cell r="B2841">
            <v>36402</v>
          </cell>
          <cell r="C2841">
            <v>1936.12</v>
          </cell>
        </row>
        <row r="2842">
          <cell r="B2842">
            <v>36403</v>
          </cell>
          <cell r="C2842">
            <v>1954.72</v>
          </cell>
        </row>
        <row r="2843">
          <cell r="B2843">
            <v>36404</v>
          </cell>
          <cell r="C2843">
            <v>1941.25</v>
          </cell>
        </row>
        <row r="2844">
          <cell r="B2844">
            <v>36405</v>
          </cell>
          <cell r="C2844">
            <v>1934.46</v>
          </cell>
        </row>
        <row r="2845">
          <cell r="B2845">
            <v>36406</v>
          </cell>
          <cell r="C2845">
            <v>1943.23</v>
          </cell>
        </row>
        <row r="2846">
          <cell r="B2846">
            <v>36407</v>
          </cell>
          <cell r="C2846">
            <v>1943.24</v>
          </cell>
        </row>
        <row r="2847">
          <cell r="B2847">
            <v>36408</v>
          </cell>
          <cell r="C2847">
            <v>1943.24</v>
          </cell>
        </row>
        <row r="2848">
          <cell r="B2848">
            <v>36409</v>
          </cell>
          <cell r="C2848">
            <v>1943.24</v>
          </cell>
        </row>
        <row r="2849">
          <cell r="B2849">
            <v>36410</v>
          </cell>
          <cell r="C2849">
            <v>1947.31</v>
          </cell>
        </row>
        <row r="2850">
          <cell r="B2850">
            <v>36411</v>
          </cell>
          <cell r="C2850">
            <v>1969.82</v>
          </cell>
        </row>
        <row r="2851">
          <cell r="B2851">
            <v>36412</v>
          </cell>
          <cell r="C2851">
            <v>1972.35</v>
          </cell>
        </row>
        <row r="2852">
          <cell r="B2852">
            <v>36413</v>
          </cell>
          <cell r="C2852">
            <v>1976.07</v>
          </cell>
        </row>
        <row r="2853">
          <cell r="B2853">
            <v>36414</v>
          </cell>
          <cell r="C2853">
            <v>1981.41</v>
          </cell>
        </row>
        <row r="2854">
          <cell r="B2854">
            <v>36415</v>
          </cell>
          <cell r="C2854">
            <v>1981.41</v>
          </cell>
        </row>
        <row r="2855">
          <cell r="B2855">
            <v>36416</v>
          </cell>
          <cell r="C2855">
            <v>1981.41</v>
          </cell>
        </row>
        <row r="2856">
          <cell r="B2856">
            <v>36417</v>
          </cell>
          <cell r="C2856">
            <v>1977.85</v>
          </cell>
        </row>
        <row r="2857">
          <cell r="B2857">
            <v>36418</v>
          </cell>
          <cell r="C2857">
            <v>1970.54</v>
          </cell>
        </row>
        <row r="2858">
          <cell r="B2858">
            <v>36419</v>
          </cell>
          <cell r="C2858">
            <v>1967.58</v>
          </cell>
        </row>
        <row r="2859">
          <cell r="B2859">
            <v>36420</v>
          </cell>
          <cell r="C2859">
            <v>1977.52</v>
          </cell>
        </row>
        <row r="2860">
          <cell r="B2860">
            <v>36421</v>
          </cell>
          <cell r="C2860">
            <v>1987.08</v>
          </cell>
        </row>
        <row r="2861">
          <cell r="B2861">
            <v>36422</v>
          </cell>
          <cell r="C2861">
            <v>1987.08</v>
          </cell>
        </row>
        <row r="2862">
          <cell r="B2862">
            <v>36423</v>
          </cell>
          <cell r="C2862">
            <v>1987.08</v>
          </cell>
        </row>
        <row r="2863">
          <cell r="B2863">
            <v>36424</v>
          </cell>
          <cell r="C2863">
            <v>1981.64</v>
          </cell>
        </row>
        <row r="2864">
          <cell r="B2864">
            <v>36425</v>
          </cell>
          <cell r="C2864">
            <v>1975.46</v>
          </cell>
        </row>
        <row r="2865">
          <cell r="B2865">
            <v>36426</v>
          </cell>
          <cell r="C2865">
            <v>1992.36</v>
          </cell>
        </row>
        <row r="2866">
          <cell r="B2866">
            <v>36427</v>
          </cell>
          <cell r="C2866">
            <v>1994.86</v>
          </cell>
        </row>
        <row r="2867">
          <cell r="B2867">
            <v>36428</v>
          </cell>
          <cell r="C2867">
            <v>1995.64</v>
          </cell>
        </row>
        <row r="2868">
          <cell r="B2868">
            <v>36429</v>
          </cell>
          <cell r="C2868">
            <v>1995.64</v>
          </cell>
        </row>
        <row r="2869">
          <cell r="B2869">
            <v>36430</v>
          </cell>
          <cell r="C2869">
            <v>1995.64</v>
          </cell>
        </row>
        <row r="2870">
          <cell r="B2870">
            <v>36431</v>
          </cell>
          <cell r="C2870">
            <v>2013.24</v>
          </cell>
        </row>
        <row r="2871">
          <cell r="B2871">
            <v>36432</v>
          </cell>
          <cell r="C2871">
            <v>2003.82</v>
          </cell>
        </row>
        <row r="2872">
          <cell r="B2872">
            <v>36433</v>
          </cell>
          <cell r="C2872">
            <v>2017.27</v>
          </cell>
        </row>
        <row r="2873">
          <cell r="B2873">
            <v>36434</v>
          </cell>
          <cell r="C2873">
            <v>2015.15</v>
          </cell>
        </row>
        <row r="2874">
          <cell r="B2874">
            <v>36435</v>
          </cell>
          <cell r="C2874">
            <v>2004.22</v>
          </cell>
        </row>
        <row r="2875">
          <cell r="B2875">
            <v>36436</v>
          </cell>
          <cell r="C2875">
            <v>2004.22</v>
          </cell>
        </row>
        <row r="2876">
          <cell r="B2876">
            <v>36437</v>
          </cell>
          <cell r="C2876">
            <v>2004.22</v>
          </cell>
        </row>
        <row r="2877">
          <cell r="B2877">
            <v>36438</v>
          </cell>
          <cell r="C2877">
            <v>1992.65</v>
          </cell>
        </row>
        <row r="2878">
          <cell r="B2878">
            <v>36439</v>
          </cell>
          <cell r="C2878">
            <v>2000.48</v>
          </cell>
        </row>
        <row r="2879">
          <cell r="B2879">
            <v>36440</v>
          </cell>
          <cell r="C2879">
            <v>1995.71</v>
          </cell>
        </row>
        <row r="2880">
          <cell r="B2880">
            <v>36441</v>
          </cell>
          <cell r="C2880">
            <v>1993.18</v>
          </cell>
        </row>
        <row r="2881">
          <cell r="B2881">
            <v>36442</v>
          </cell>
          <cell r="C2881">
            <v>1992.74</v>
          </cell>
        </row>
        <row r="2882">
          <cell r="B2882">
            <v>36443</v>
          </cell>
          <cell r="C2882">
            <v>1992.74</v>
          </cell>
        </row>
        <row r="2883">
          <cell r="B2883">
            <v>36444</v>
          </cell>
          <cell r="C2883">
            <v>1992.74</v>
          </cell>
        </row>
        <row r="2884">
          <cell r="B2884">
            <v>36445</v>
          </cell>
          <cell r="C2884">
            <v>1992.03</v>
          </cell>
        </row>
        <row r="2885">
          <cell r="B2885">
            <v>36446</v>
          </cell>
          <cell r="C2885">
            <v>1988.7</v>
          </cell>
        </row>
        <row r="2886">
          <cell r="B2886">
            <v>36447</v>
          </cell>
          <cell r="C2886">
            <v>1981.14</v>
          </cell>
        </row>
        <row r="2887">
          <cell r="B2887">
            <v>36448</v>
          </cell>
          <cell r="C2887">
            <v>1975.8</v>
          </cell>
        </row>
        <row r="2888">
          <cell r="B2888">
            <v>36449</v>
          </cell>
          <cell r="C2888">
            <v>1977.04</v>
          </cell>
        </row>
        <row r="2889">
          <cell r="B2889">
            <v>36450</v>
          </cell>
          <cell r="C2889">
            <v>1977.04</v>
          </cell>
        </row>
        <row r="2890">
          <cell r="B2890">
            <v>36451</v>
          </cell>
          <cell r="C2890">
            <v>1977.04</v>
          </cell>
        </row>
        <row r="2891">
          <cell r="B2891">
            <v>36452</v>
          </cell>
          <cell r="C2891">
            <v>1977.04</v>
          </cell>
        </row>
        <row r="2892">
          <cell r="B2892">
            <v>36453</v>
          </cell>
          <cell r="C2892">
            <v>1965.92</v>
          </cell>
        </row>
        <row r="2893">
          <cell r="B2893">
            <v>36454</v>
          </cell>
          <cell r="C2893">
            <v>1957.53</v>
          </cell>
        </row>
        <row r="2894">
          <cell r="B2894">
            <v>36455</v>
          </cell>
          <cell r="C2894">
            <v>1946</v>
          </cell>
        </row>
        <row r="2895">
          <cell r="B2895">
            <v>36456</v>
          </cell>
          <cell r="C2895">
            <v>1946.24</v>
          </cell>
        </row>
        <row r="2896">
          <cell r="B2896">
            <v>36457</v>
          </cell>
          <cell r="C2896">
            <v>1946.24</v>
          </cell>
        </row>
        <row r="2897">
          <cell r="B2897">
            <v>36458</v>
          </cell>
          <cell r="C2897">
            <v>1946.24</v>
          </cell>
        </row>
        <row r="2898">
          <cell r="B2898">
            <v>36459</v>
          </cell>
          <cell r="C2898">
            <v>1949.33</v>
          </cell>
        </row>
        <row r="2899">
          <cell r="B2899">
            <v>36460</v>
          </cell>
          <cell r="C2899">
            <v>1966.07</v>
          </cell>
        </row>
        <row r="2900">
          <cell r="B2900">
            <v>36461</v>
          </cell>
          <cell r="C2900">
            <v>1968.9</v>
          </cell>
        </row>
        <row r="2901">
          <cell r="B2901">
            <v>36462</v>
          </cell>
          <cell r="C2901">
            <v>1965.44</v>
          </cell>
        </row>
        <row r="2902">
          <cell r="B2902">
            <v>36463</v>
          </cell>
          <cell r="C2902">
            <v>1971.59</v>
          </cell>
        </row>
        <row r="2903">
          <cell r="B2903">
            <v>36464</v>
          </cell>
          <cell r="C2903">
            <v>1971.59</v>
          </cell>
        </row>
        <row r="2904">
          <cell r="B2904">
            <v>36465</v>
          </cell>
          <cell r="C2904">
            <v>1971.59</v>
          </cell>
        </row>
        <row r="2905">
          <cell r="B2905">
            <v>36466</v>
          </cell>
          <cell r="C2905">
            <v>1971.59</v>
          </cell>
        </row>
        <row r="2906">
          <cell r="B2906">
            <v>36467</v>
          </cell>
          <cell r="C2906">
            <v>1966.5</v>
          </cell>
        </row>
        <row r="2907">
          <cell r="B2907">
            <v>36468</v>
          </cell>
          <cell r="C2907">
            <v>1960.7</v>
          </cell>
        </row>
        <row r="2908">
          <cell r="B2908">
            <v>36469</v>
          </cell>
          <cell r="C2908">
            <v>1962.16</v>
          </cell>
        </row>
        <row r="2909">
          <cell r="B2909">
            <v>36470</v>
          </cell>
          <cell r="C2909">
            <v>1959.46</v>
          </cell>
        </row>
        <row r="2910">
          <cell r="B2910">
            <v>36471</v>
          </cell>
          <cell r="C2910">
            <v>1959.46</v>
          </cell>
        </row>
        <row r="2911">
          <cell r="B2911">
            <v>36472</v>
          </cell>
          <cell r="C2911">
            <v>1959.46</v>
          </cell>
        </row>
        <row r="2912">
          <cell r="B2912">
            <v>36473</v>
          </cell>
          <cell r="C2912">
            <v>1954.56</v>
          </cell>
        </row>
        <row r="2913">
          <cell r="B2913">
            <v>36474</v>
          </cell>
          <cell r="C2913">
            <v>1948.05</v>
          </cell>
        </row>
        <row r="2914">
          <cell r="B2914">
            <v>36475</v>
          </cell>
          <cell r="C2914">
            <v>1951.11</v>
          </cell>
        </row>
        <row r="2915">
          <cell r="B2915">
            <v>36476</v>
          </cell>
          <cell r="C2915">
            <v>1958.41</v>
          </cell>
        </row>
        <row r="2916">
          <cell r="B2916">
            <v>36477</v>
          </cell>
          <cell r="C2916">
            <v>1961.8</v>
          </cell>
        </row>
        <row r="2917">
          <cell r="B2917">
            <v>36478</v>
          </cell>
          <cell r="C2917">
            <v>1961.8</v>
          </cell>
        </row>
        <row r="2918">
          <cell r="B2918">
            <v>36479</v>
          </cell>
          <cell r="C2918">
            <v>1961.8</v>
          </cell>
        </row>
        <row r="2919">
          <cell r="B2919">
            <v>36480</v>
          </cell>
          <cell r="C2919">
            <v>1961.8</v>
          </cell>
        </row>
        <row r="2920">
          <cell r="B2920">
            <v>36481</v>
          </cell>
          <cell r="C2920">
            <v>1961.7</v>
          </cell>
        </row>
        <row r="2921">
          <cell r="B2921">
            <v>36482</v>
          </cell>
          <cell r="C2921">
            <v>1946.27</v>
          </cell>
        </row>
        <row r="2922">
          <cell r="B2922">
            <v>36483</v>
          </cell>
          <cell r="C2922">
            <v>1927.47</v>
          </cell>
        </row>
        <row r="2923">
          <cell r="B2923">
            <v>36484</v>
          </cell>
          <cell r="C2923">
            <v>1925.11</v>
          </cell>
        </row>
        <row r="2924">
          <cell r="B2924">
            <v>36485</v>
          </cell>
          <cell r="C2924">
            <v>1925.11</v>
          </cell>
        </row>
        <row r="2925">
          <cell r="B2925">
            <v>36486</v>
          </cell>
          <cell r="C2925">
            <v>1925.11</v>
          </cell>
        </row>
        <row r="2926">
          <cell r="B2926">
            <v>36487</v>
          </cell>
          <cell r="C2926">
            <v>1935.48</v>
          </cell>
        </row>
        <row r="2927">
          <cell r="B2927">
            <v>36488</v>
          </cell>
          <cell r="C2927">
            <v>1925</v>
          </cell>
        </row>
        <row r="2928">
          <cell r="B2928">
            <v>36489</v>
          </cell>
          <cell r="C2928">
            <v>1912.86</v>
          </cell>
        </row>
        <row r="2929">
          <cell r="B2929">
            <v>36490</v>
          </cell>
          <cell r="C2929">
            <v>1918.85</v>
          </cell>
        </row>
        <row r="2930">
          <cell r="B2930">
            <v>36491</v>
          </cell>
          <cell r="C2930">
            <v>1921.93</v>
          </cell>
        </row>
        <row r="2931">
          <cell r="B2931">
            <v>36492</v>
          </cell>
          <cell r="C2931">
            <v>1921.93</v>
          </cell>
        </row>
        <row r="2932">
          <cell r="B2932">
            <v>36493</v>
          </cell>
          <cell r="C2932">
            <v>1921.93</v>
          </cell>
        </row>
        <row r="2933">
          <cell r="B2933">
            <v>36494</v>
          </cell>
          <cell r="C2933">
            <v>1923.77</v>
          </cell>
        </row>
        <row r="2934">
          <cell r="B2934">
            <v>36495</v>
          </cell>
          <cell r="C2934">
            <v>1922.47</v>
          </cell>
        </row>
        <row r="2935">
          <cell r="B2935">
            <v>36496</v>
          </cell>
          <cell r="C2935">
            <v>1918.63</v>
          </cell>
        </row>
        <row r="2936">
          <cell r="B2936">
            <v>36497</v>
          </cell>
          <cell r="C2936">
            <v>1911.35</v>
          </cell>
        </row>
        <row r="2937">
          <cell r="B2937">
            <v>36498</v>
          </cell>
          <cell r="C2937">
            <v>1903.8</v>
          </cell>
        </row>
        <row r="2938">
          <cell r="B2938">
            <v>36499</v>
          </cell>
          <cell r="C2938">
            <v>1903.8</v>
          </cell>
        </row>
        <row r="2939">
          <cell r="B2939">
            <v>36500</v>
          </cell>
          <cell r="C2939">
            <v>1903.8</v>
          </cell>
        </row>
        <row r="2940">
          <cell r="B2940">
            <v>36501</v>
          </cell>
          <cell r="C2940">
            <v>1886.46</v>
          </cell>
        </row>
        <row r="2941">
          <cell r="B2941">
            <v>36502</v>
          </cell>
          <cell r="C2941">
            <v>1888.99</v>
          </cell>
        </row>
        <row r="2942">
          <cell r="B2942">
            <v>36503</v>
          </cell>
          <cell r="C2942">
            <v>1888.99</v>
          </cell>
        </row>
        <row r="2943">
          <cell r="B2943">
            <v>36504</v>
          </cell>
          <cell r="C2943">
            <v>1906.91</v>
          </cell>
        </row>
        <row r="2944">
          <cell r="B2944">
            <v>36505</v>
          </cell>
          <cell r="C2944">
            <v>1900.22</v>
          </cell>
        </row>
        <row r="2945">
          <cell r="B2945">
            <v>36506</v>
          </cell>
          <cell r="C2945">
            <v>1900.22</v>
          </cell>
        </row>
        <row r="2946">
          <cell r="B2946">
            <v>36507</v>
          </cell>
          <cell r="C2946">
            <v>1900.22</v>
          </cell>
        </row>
        <row r="2947">
          <cell r="B2947">
            <v>36508</v>
          </cell>
          <cell r="C2947">
            <v>1905.5</v>
          </cell>
        </row>
        <row r="2948">
          <cell r="B2948">
            <v>36509</v>
          </cell>
          <cell r="C2948">
            <v>1891.67</v>
          </cell>
        </row>
        <row r="2949">
          <cell r="B2949">
            <v>36510</v>
          </cell>
          <cell r="C2949">
            <v>1874.14</v>
          </cell>
        </row>
        <row r="2950">
          <cell r="B2950">
            <v>36511</v>
          </cell>
          <cell r="C2950">
            <v>1879.55</v>
          </cell>
        </row>
        <row r="2951">
          <cell r="B2951">
            <v>36512</v>
          </cell>
          <cell r="C2951">
            <v>1867.02</v>
          </cell>
        </row>
        <row r="2952">
          <cell r="B2952">
            <v>36513</v>
          </cell>
          <cell r="C2952">
            <v>1867.02</v>
          </cell>
        </row>
        <row r="2953">
          <cell r="B2953">
            <v>36514</v>
          </cell>
          <cell r="C2953">
            <v>1867.02</v>
          </cell>
        </row>
        <row r="2954">
          <cell r="B2954">
            <v>36515</v>
          </cell>
          <cell r="C2954">
            <v>1868.47</v>
          </cell>
        </row>
        <row r="2955">
          <cell r="B2955">
            <v>36516</v>
          </cell>
          <cell r="C2955">
            <v>1884.64</v>
          </cell>
        </row>
        <row r="2956">
          <cell r="B2956">
            <v>36517</v>
          </cell>
          <cell r="C2956">
            <v>1886.27</v>
          </cell>
        </row>
        <row r="2957">
          <cell r="B2957">
            <v>36518</v>
          </cell>
          <cell r="C2957">
            <v>1874.77</v>
          </cell>
        </row>
        <row r="2958">
          <cell r="B2958">
            <v>36519</v>
          </cell>
          <cell r="C2958">
            <v>1874.58</v>
          </cell>
        </row>
        <row r="2959">
          <cell r="B2959">
            <v>36520</v>
          </cell>
          <cell r="C2959">
            <v>1874.58</v>
          </cell>
        </row>
        <row r="2960">
          <cell r="B2960">
            <v>36521</v>
          </cell>
          <cell r="C2960">
            <v>1874.58</v>
          </cell>
        </row>
        <row r="2961">
          <cell r="B2961">
            <v>36522</v>
          </cell>
          <cell r="C2961">
            <v>1870.65</v>
          </cell>
        </row>
        <row r="2962">
          <cell r="B2962">
            <v>36523</v>
          </cell>
          <cell r="C2962">
            <v>1867.82</v>
          </cell>
        </row>
        <row r="2963">
          <cell r="B2963">
            <v>36524</v>
          </cell>
          <cell r="C2963">
            <v>1873.77</v>
          </cell>
        </row>
        <row r="2964">
          <cell r="B2964">
            <v>36525</v>
          </cell>
          <cell r="C2964">
            <v>1873.77</v>
          </cell>
        </row>
        <row r="2965">
          <cell r="B2965">
            <v>36526</v>
          </cell>
          <cell r="C2965">
            <v>1873.77</v>
          </cell>
        </row>
        <row r="2966">
          <cell r="B2966">
            <v>36527</v>
          </cell>
          <cell r="C2966">
            <v>1873.77</v>
          </cell>
        </row>
        <row r="2967">
          <cell r="B2967">
            <v>36528</v>
          </cell>
          <cell r="C2967">
            <v>1873.77</v>
          </cell>
        </row>
        <row r="2968">
          <cell r="B2968">
            <v>36529</v>
          </cell>
          <cell r="C2968">
            <v>1874.35</v>
          </cell>
        </row>
        <row r="2969">
          <cell r="B2969">
            <v>36530</v>
          </cell>
          <cell r="C2969">
            <v>1895.97</v>
          </cell>
        </row>
        <row r="2970">
          <cell r="B2970">
            <v>36531</v>
          </cell>
          <cell r="C2970">
            <v>1912.69</v>
          </cell>
        </row>
        <row r="2971">
          <cell r="B2971">
            <v>36532</v>
          </cell>
          <cell r="C2971">
            <v>1911.33</v>
          </cell>
        </row>
        <row r="2972">
          <cell r="B2972">
            <v>36533</v>
          </cell>
          <cell r="C2972">
            <v>1900.14</v>
          </cell>
        </row>
        <row r="2973">
          <cell r="B2973">
            <v>36534</v>
          </cell>
          <cell r="C2973">
            <v>1900.14</v>
          </cell>
        </row>
        <row r="2974">
          <cell r="B2974">
            <v>36535</v>
          </cell>
          <cell r="C2974">
            <v>1900.14</v>
          </cell>
        </row>
        <row r="2975">
          <cell r="B2975">
            <v>36536</v>
          </cell>
          <cell r="C2975">
            <v>1900.14</v>
          </cell>
        </row>
        <row r="2976">
          <cell r="B2976">
            <v>36537</v>
          </cell>
          <cell r="C2976">
            <v>1902.25</v>
          </cell>
        </row>
        <row r="2977">
          <cell r="B2977">
            <v>36538</v>
          </cell>
          <cell r="C2977">
            <v>1904.54</v>
          </cell>
        </row>
        <row r="2978">
          <cell r="B2978">
            <v>36539</v>
          </cell>
          <cell r="C2978">
            <v>1917.38</v>
          </cell>
        </row>
        <row r="2979">
          <cell r="B2979">
            <v>36540</v>
          </cell>
          <cell r="C2979">
            <v>1920.83</v>
          </cell>
        </row>
        <row r="2980">
          <cell r="B2980">
            <v>36541</v>
          </cell>
          <cell r="C2980">
            <v>1920.83</v>
          </cell>
        </row>
        <row r="2981">
          <cell r="B2981">
            <v>36542</v>
          </cell>
          <cell r="C2981">
            <v>1920.83</v>
          </cell>
        </row>
        <row r="2982">
          <cell r="B2982">
            <v>36543</v>
          </cell>
          <cell r="C2982">
            <v>1919.21</v>
          </cell>
        </row>
        <row r="2983">
          <cell r="B2983">
            <v>36544</v>
          </cell>
          <cell r="C2983">
            <v>1928.51</v>
          </cell>
        </row>
        <row r="2984">
          <cell r="B2984">
            <v>36545</v>
          </cell>
          <cell r="C2984">
            <v>1945.17</v>
          </cell>
        </row>
        <row r="2985">
          <cell r="B2985">
            <v>36546</v>
          </cell>
          <cell r="C2985">
            <v>1938.84</v>
          </cell>
        </row>
        <row r="2986">
          <cell r="B2986">
            <v>36547</v>
          </cell>
          <cell r="C2986">
            <v>1931.97</v>
          </cell>
        </row>
        <row r="2987">
          <cell r="B2987">
            <v>36548</v>
          </cell>
          <cell r="C2987">
            <v>1931.97</v>
          </cell>
        </row>
        <row r="2988">
          <cell r="B2988">
            <v>36549</v>
          </cell>
          <cell r="C2988">
            <v>1931.97</v>
          </cell>
        </row>
        <row r="2989">
          <cell r="B2989">
            <v>36550</v>
          </cell>
          <cell r="C2989">
            <v>1943.88</v>
          </cell>
        </row>
        <row r="2990">
          <cell r="B2990">
            <v>36551</v>
          </cell>
          <cell r="C2990">
            <v>1939.63</v>
          </cell>
        </row>
        <row r="2991">
          <cell r="B2991">
            <v>36552</v>
          </cell>
          <cell r="C2991">
            <v>1958.17</v>
          </cell>
        </row>
        <row r="2992">
          <cell r="B2992">
            <v>36553</v>
          </cell>
          <cell r="C2992">
            <v>1976.14</v>
          </cell>
        </row>
        <row r="2993">
          <cell r="B2993">
            <v>36554</v>
          </cell>
          <cell r="C2993">
            <v>1976.72</v>
          </cell>
        </row>
        <row r="2994">
          <cell r="B2994">
            <v>36555</v>
          </cell>
          <cell r="C2994">
            <v>1976.72</v>
          </cell>
        </row>
        <row r="2995">
          <cell r="B2995">
            <v>36556</v>
          </cell>
          <cell r="C2995">
            <v>1976.72</v>
          </cell>
        </row>
        <row r="2996">
          <cell r="B2996">
            <v>36557</v>
          </cell>
          <cell r="C2996">
            <v>1973.36</v>
          </cell>
        </row>
        <row r="2997">
          <cell r="B2997">
            <v>36558</v>
          </cell>
          <cell r="C2997">
            <v>1970.61</v>
          </cell>
        </row>
        <row r="2998">
          <cell r="B2998">
            <v>36559</v>
          </cell>
          <cell r="C2998">
            <v>1965.61</v>
          </cell>
        </row>
        <row r="2999">
          <cell r="B2999">
            <v>36560</v>
          </cell>
          <cell r="C2999">
            <v>1947.55</v>
          </cell>
        </row>
        <row r="3000">
          <cell r="B3000">
            <v>36561</v>
          </cell>
          <cell r="C3000">
            <v>1948.6</v>
          </cell>
        </row>
        <row r="3001">
          <cell r="B3001">
            <v>36562</v>
          </cell>
          <cell r="C3001">
            <v>1948.6</v>
          </cell>
        </row>
        <row r="3002">
          <cell r="B3002">
            <v>36563</v>
          </cell>
          <cell r="C3002">
            <v>1948.6</v>
          </cell>
        </row>
        <row r="3003">
          <cell r="B3003">
            <v>36564</v>
          </cell>
          <cell r="C3003">
            <v>1950.59</v>
          </cell>
        </row>
        <row r="3004">
          <cell r="B3004">
            <v>36565</v>
          </cell>
          <cell r="C3004">
            <v>1949.54</v>
          </cell>
        </row>
        <row r="3005">
          <cell r="B3005">
            <v>36566</v>
          </cell>
          <cell r="C3005">
            <v>1946.51</v>
          </cell>
        </row>
        <row r="3006">
          <cell r="B3006">
            <v>36567</v>
          </cell>
          <cell r="C3006">
            <v>1952.29</v>
          </cell>
        </row>
        <row r="3007">
          <cell r="B3007">
            <v>36568</v>
          </cell>
          <cell r="C3007">
            <v>1948.16</v>
          </cell>
        </row>
        <row r="3008">
          <cell r="B3008">
            <v>36569</v>
          </cell>
          <cell r="C3008">
            <v>1948.16</v>
          </cell>
        </row>
        <row r="3009">
          <cell r="B3009">
            <v>36570</v>
          </cell>
          <cell r="C3009">
            <v>1948.16</v>
          </cell>
        </row>
        <row r="3010">
          <cell r="B3010">
            <v>36571</v>
          </cell>
          <cell r="C3010">
            <v>1950.77</v>
          </cell>
        </row>
        <row r="3011">
          <cell r="B3011">
            <v>36572</v>
          </cell>
          <cell r="C3011">
            <v>1949.61</v>
          </cell>
        </row>
        <row r="3012">
          <cell r="B3012">
            <v>36573</v>
          </cell>
          <cell r="C3012">
            <v>1946.79</v>
          </cell>
        </row>
        <row r="3013">
          <cell r="B3013">
            <v>36574</v>
          </cell>
          <cell r="C3013">
            <v>1945.31</v>
          </cell>
        </row>
        <row r="3014">
          <cell r="B3014">
            <v>36575</v>
          </cell>
          <cell r="C3014">
            <v>1947.41</v>
          </cell>
        </row>
        <row r="3015">
          <cell r="B3015">
            <v>36576</v>
          </cell>
          <cell r="C3015">
            <v>1947.41</v>
          </cell>
        </row>
        <row r="3016">
          <cell r="B3016">
            <v>36577</v>
          </cell>
          <cell r="C3016">
            <v>1947.41</v>
          </cell>
        </row>
        <row r="3017">
          <cell r="B3017">
            <v>36578</v>
          </cell>
          <cell r="C3017">
            <v>1943.83</v>
          </cell>
        </row>
        <row r="3018">
          <cell r="B3018">
            <v>36579</v>
          </cell>
          <cell r="C3018">
            <v>1941.54</v>
          </cell>
        </row>
        <row r="3019">
          <cell r="B3019">
            <v>36580</v>
          </cell>
          <cell r="C3019">
            <v>1944.18</v>
          </cell>
        </row>
        <row r="3020">
          <cell r="B3020">
            <v>36581</v>
          </cell>
          <cell r="C3020">
            <v>1947.72</v>
          </cell>
        </row>
        <row r="3021">
          <cell r="B3021">
            <v>36582</v>
          </cell>
          <cell r="C3021">
            <v>1947.28</v>
          </cell>
        </row>
        <row r="3022">
          <cell r="B3022">
            <v>36583</v>
          </cell>
          <cell r="C3022">
            <v>1947.28</v>
          </cell>
        </row>
        <row r="3023">
          <cell r="B3023">
            <v>36584</v>
          </cell>
          <cell r="C3023">
            <v>1947.28</v>
          </cell>
        </row>
        <row r="3024">
          <cell r="B3024">
            <v>36585</v>
          </cell>
          <cell r="C3024">
            <v>1946.17</v>
          </cell>
        </row>
        <row r="3025">
          <cell r="B3025">
            <v>36586</v>
          </cell>
          <cell r="C3025">
            <v>1948.05</v>
          </cell>
        </row>
        <row r="3026">
          <cell r="B3026">
            <v>36587</v>
          </cell>
          <cell r="C3026">
            <v>1950.88</v>
          </cell>
        </row>
        <row r="3027">
          <cell r="B3027">
            <v>36588</v>
          </cell>
          <cell r="C3027">
            <v>1956.8</v>
          </cell>
        </row>
        <row r="3028">
          <cell r="B3028">
            <v>36589</v>
          </cell>
          <cell r="C3028">
            <v>1961.16</v>
          </cell>
        </row>
        <row r="3029">
          <cell r="B3029">
            <v>36590</v>
          </cell>
          <cell r="C3029">
            <v>1961.16</v>
          </cell>
        </row>
        <row r="3030">
          <cell r="B3030">
            <v>36591</v>
          </cell>
          <cell r="C3030">
            <v>1961.16</v>
          </cell>
        </row>
        <row r="3031">
          <cell r="B3031">
            <v>36592</v>
          </cell>
          <cell r="C3031">
            <v>1965.63</v>
          </cell>
        </row>
        <row r="3032">
          <cell r="B3032">
            <v>36593</v>
          </cell>
          <cell r="C3032">
            <v>1964.26</v>
          </cell>
        </row>
        <row r="3033">
          <cell r="B3033">
            <v>36594</v>
          </cell>
          <cell r="C3033">
            <v>1960.47</v>
          </cell>
        </row>
        <row r="3034">
          <cell r="B3034">
            <v>36595</v>
          </cell>
          <cell r="C3034">
            <v>1959.77</v>
          </cell>
        </row>
        <row r="3035">
          <cell r="B3035">
            <v>36596</v>
          </cell>
          <cell r="C3035">
            <v>1958.48</v>
          </cell>
        </row>
        <row r="3036">
          <cell r="B3036">
            <v>36597</v>
          </cell>
          <cell r="C3036">
            <v>1958.48</v>
          </cell>
        </row>
        <row r="3037">
          <cell r="B3037">
            <v>36598</v>
          </cell>
          <cell r="C3037">
            <v>1958.48</v>
          </cell>
        </row>
        <row r="3038">
          <cell r="B3038">
            <v>36599</v>
          </cell>
          <cell r="C3038">
            <v>1957.5</v>
          </cell>
        </row>
        <row r="3039">
          <cell r="B3039">
            <v>36600</v>
          </cell>
          <cell r="C3039">
            <v>1955.75</v>
          </cell>
        </row>
        <row r="3040">
          <cell r="B3040">
            <v>36601</v>
          </cell>
          <cell r="C3040">
            <v>1954.26</v>
          </cell>
        </row>
        <row r="3041">
          <cell r="B3041">
            <v>36602</v>
          </cell>
          <cell r="C3041">
            <v>1950.01</v>
          </cell>
        </row>
        <row r="3042">
          <cell r="B3042">
            <v>36603</v>
          </cell>
          <cell r="C3042">
            <v>1952.98</v>
          </cell>
        </row>
        <row r="3043">
          <cell r="B3043">
            <v>36604</v>
          </cell>
          <cell r="C3043">
            <v>1952.98</v>
          </cell>
        </row>
        <row r="3044">
          <cell r="B3044">
            <v>36605</v>
          </cell>
          <cell r="C3044">
            <v>1952.98</v>
          </cell>
        </row>
        <row r="3045">
          <cell r="B3045">
            <v>36606</v>
          </cell>
          <cell r="C3045">
            <v>1952.98</v>
          </cell>
        </row>
        <row r="3046">
          <cell r="B3046">
            <v>36607</v>
          </cell>
          <cell r="C3046">
            <v>1956.98</v>
          </cell>
        </row>
        <row r="3047">
          <cell r="B3047">
            <v>36608</v>
          </cell>
          <cell r="C3047">
            <v>1959.84</v>
          </cell>
        </row>
        <row r="3048">
          <cell r="B3048">
            <v>36609</v>
          </cell>
          <cell r="C3048">
            <v>1954.57</v>
          </cell>
        </row>
        <row r="3049">
          <cell r="B3049">
            <v>36610</v>
          </cell>
          <cell r="C3049">
            <v>1954.83</v>
          </cell>
        </row>
        <row r="3050">
          <cell r="B3050">
            <v>36611</v>
          </cell>
          <cell r="C3050">
            <v>1954.83</v>
          </cell>
        </row>
        <row r="3051">
          <cell r="B3051">
            <v>36612</v>
          </cell>
          <cell r="C3051">
            <v>1954.83</v>
          </cell>
        </row>
        <row r="3052">
          <cell r="B3052">
            <v>36613</v>
          </cell>
          <cell r="C3052">
            <v>1958.93</v>
          </cell>
        </row>
        <row r="3053">
          <cell r="B3053">
            <v>36614</v>
          </cell>
          <cell r="C3053">
            <v>1955.14</v>
          </cell>
        </row>
        <row r="3054">
          <cell r="B3054">
            <v>36615</v>
          </cell>
          <cell r="C3054">
            <v>1949.75</v>
          </cell>
        </row>
        <row r="3055">
          <cell r="B3055">
            <v>36616</v>
          </cell>
          <cell r="C3055">
            <v>1951.56</v>
          </cell>
        </row>
        <row r="3056">
          <cell r="B3056">
            <v>36617</v>
          </cell>
          <cell r="C3056">
            <v>1958.12</v>
          </cell>
        </row>
        <row r="3057">
          <cell r="B3057">
            <v>36618</v>
          </cell>
          <cell r="C3057">
            <v>1958.12</v>
          </cell>
        </row>
        <row r="3058">
          <cell r="B3058">
            <v>36619</v>
          </cell>
          <cell r="C3058">
            <v>1958.12</v>
          </cell>
        </row>
        <row r="3059">
          <cell r="B3059">
            <v>36620</v>
          </cell>
          <cell r="C3059">
            <v>1963.22</v>
          </cell>
        </row>
        <row r="3060">
          <cell r="B3060">
            <v>36621</v>
          </cell>
          <cell r="C3060">
            <v>1964.1</v>
          </cell>
        </row>
        <row r="3061">
          <cell r="B3061">
            <v>36622</v>
          </cell>
          <cell r="C3061">
            <v>1968.92</v>
          </cell>
        </row>
        <row r="3062">
          <cell r="B3062">
            <v>36623</v>
          </cell>
          <cell r="C3062">
            <v>1986.96</v>
          </cell>
        </row>
        <row r="3063">
          <cell r="B3063">
            <v>36624</v>
          </cell>
          <cell r="C3063">
            <v>1996.24</v>
          </cell>
        </row>
        <row r="3064">
          <cell r="B3064">
            <v>36625</v>
          </cell>
          <cell r="C3064">
            <v>1996.24</v>
          </cell>
        </row>
        <row r="3065">
          <cell r="B3065">
            <v>36626</v>
          </cell>
          <cell r="C3065">
            <v>1996.24</v>
          </cell>
        </row>
        <row r="3066">
          <cell r="B3066">
            <v>36627</v>
          </cell>
          <cell r="C3066">
            <v>1998.25</v>
          </cell>
        </row>
        <row r="3067">
          <cell r="B3067">
            <v>36628</v>
          </cell>
          <cell r="C3067">
            <v>1986.75</v>
          </cell>
        </row>
        <row r="3068">
          <cell r="B3068">
            <v>36629</v>
          </cell>
          <cell r="C3068">
            <v>1987.38</v>
          </cell>
        </row>
        <row r="3069">
          <cell r="B3069">
            <v>36630</v>
          </cell>
          <cell r="C3069">
            <v>1987.36</v>
          </cell>
        </row>
        <row r="3070">
          <cell r="B3070">
            <v>36631</v>
          </cell>
          <cell r="C3070">
            <v>1987.39</v>
          </cell>
        </row>
        <row r="3071">
          <cell r="B3071">
            <v>36632</v>
          </cell>
          <cell r="C3071">
            <v>1987.39</v>
          </cell>
        </row>
        <row r="3072">
          <cell r="B3072">
            <v>36633</v>
          </cell>
          <cell r="C3072">
            <v>1987.39</v>
          </cell>
        </row>
        <row r="3073">
          <cell r="B3073">
            <v>36634</v>
          </cell>
          <cell r="C3073">
            <v>1996.29</v>
          </cell>
        </row>
        <row r="3074">
          <cell r="B3074">
            <v>36635</v>
          </cell>
          <cell r="C3074">
            <v>2003.02</v>
          </cell>
        </row>
        <row r="3075">
          <cell r="B3075">
            <v>36636</v>
          </cell>
          <cell r="C3075">
            <v>1996.07</v>
          </cell>
        </row>
        <row r="3076">
          <cell r="B3076">
            <v>36637</v>
          </cell>
          <cell r="C3076">
            <v>1996.07</v>
          </cell>
        </row>
        <row r="3077">
          <cell r="B3077">
            <v>36638</v>
          </cell>
          <cell r="C3077">
            <v>1996.07</v>
          </cell>
        </row>
        <row r="3078">
          <cell r="B3078">
            <v>36639</v>
          </cell>
          <cell r="C3078">
            <v>1996.07</v>
          </cell>
        </row>
        <row r="3079">
          <cell r="B3079">
            <v>36640</v>
          </cell>
          <cell r="C3079">
            <v>1996.07</v>
          </cell>
        </row>
        <row r="3080">
          <cell r="B3080">
            <v>36641</v>
          </cell>
          <cell r="C3080">
            <v>1991.17</v>
          </cell>
        </row>
        <row r="3081">
          <cell r="B3081">
            <v>36642</v>
          </cell>
          <cell r="C3081">
            <v>1988.65</v>
          </cell>
        </row>
        <row r="3082">
          <cell r="B3082">
            <v>36643</v>
          </cell>
          <cell r="C3082">
            <v>1998.95</v>
          </cell>
        </row>
        <row r="3083">
          <cell r="B3083">
            <v>36644</v>
          </cell>
          <cell r="C3083">
            <v>2002.95</v>
          </cell>
        </row>
        <row r="3084">
          <cell r="B3084">
            <v>36645</v>
          </cell>
          <cell r="C3084">
            <v>2004.47</v>
          </cell>
        </row>
        <row r="3085">
          <cell r="B3085">
            <v>36646</v>
          </cell>
          <cell r="C3085">
            <v>2004.47</v>
          </cell>
        </row>
        <row r="3086">
          <cell r="B3086">
            <v>36647</v>
          </cell>
          <cell r="C3086">
            <v>2004.47</v>
          </cell>
        </row>
        <row r="3087">
          <cell r="B3087">
            <v>36648</v>
          </cell>
          <cell r="C3087">
            <v>2004.47</v>
          </cell>
        </row>
        <row r="3088">
          <cell r="B3088">
            <v>36649</v>
          </cell>
          <cell r="C3088">
            <v>2001.62</v>
          </cell>
        </row>
        <row r="3089">
          <cell r="B3089">
            <v>36650</v>
          </cell>
          <cell r="C3089">
            <v>2015.92</v>
          </cell>
        </row>
        <row r="3090">
          <cell r="B3090">
            <v>36651</v>
          </cell>
          <cell r="C3090">
            <v>2027.26</v>
          </cell>
        </row>
        <row r="3091">
          <cell r="B3091">
            <v>36652</v>
          </cell>
          <cell r="C3091">
            <v>2033.17</v>
          </cell>
        </row>
        <row r="3092">
          <cell r="B3092">
            <v>36653</v>
          </cell>
          <cell r="C3092">
            <v>2033.17</v>
          </cell>
        </row>
        <row r="3093">
          <cell r="B3093">
            <v>36654</v>
          </cell>
          <cell r="C3093">
            <v>2033.17</v>
          </cell>
        </row>
        <row r="3094">
          <cell r="B3094">
            <v>36655</v>
          </cell>
          <cell r="C3094">
            <v>2044.59</v>
          </cell>
        </row>
        <row r="3095">
          <cell r="B3095">
            <v>36656</v>
          </cell>
          <cell r="C3095">
            <v>2031.86</v>
          </cell>
        </row>
        <row r="3096">
          <cell r="B3096">
            <v>36657</v>
          </cell>
          <cell r="C3096">
            <v>2021.68</v>
          </cell>
        </row>
        <row r="3097">
          <cell r="B3097">
            <v>36658</v>
          </cell>
          <cell r="C3097">
            <v>2031.96</v>
          </cell>
        </row>
        <row r="3098">
          <cell r="B3098">
            <v>36659</v>
          </cell>
          <cell r="C3098">
            <v>2039.29</v>
          </cell>
        </row>
        <row r="3099">
          <cell r="B3099">
            <v>36660</v>
          </cell>
          <cell r="C3099">
            <v>2039.29</v>
          </cell>
        </row>
        <row r="3100">
          <cell r="B3100">
            <v>36661</v>
          </cell>
          <cell r="C3100">
            <v>2039.29</v>
          </cell>
        </row>
        <row r="3101">
          <cell r="B3101">
            <v>36662</v>
          </cell>
          <cell r="C3101">
            <v>2035.54</v>
          </cell>
        </row>
        <row r="3102">
          <cell r="B3102">
            <v>36663</v>
          </cell>
          <cell r="C3102">
            <v>2037.1</v>
          </cell>
        </row>
        <row r="3103">
          <cell r="B3103">
            <v>36664</v>
          </cell>
          <cell r="C3103">
            <v>2047.79</v>
          </cell>
        </row>
        <row r="3104">
          <cell r="B3104">
            <v>36665</v>
          </cell>
          <cell r="C3104">
            <v>2055.35</v>
          </cell>
        </row>
        <row r="3105">
          <cell r="B3105">
            <v>36666</v>
          </cell>
          <cell r="C3105">
            <v>2076.85</v>
          </cell>
        </row>
        <row r="3106">
          <cell r="B3106">
            <v>36667</v>
          </cell>
          <cell r="C3106">
            <v>2076.85</v>
          </cell>
        </row>
        <row r="3107">
          <cell r="B3107">
            <v>36668</v>
          </cell>
          <cell r="C3107">
            <v>2076.85</v>
          </cell>
        </row>
        <row r="3108">
          <cell r="B3108">
            <v>36669</v>
          </cell>
          <cell r="C3108">
            <v>2094.73</v>
          </cell>
        </row>
        <row r="3109">
          <cell r="B3109">
            <v>36670</v>
          </cell>
          <cell r="C3109">
            <v>2111.94</v>
          </cell>
        </row>
        <row r="3110">
          <cell r="B3110">
            <v>36671</v>
          </cell>
          <cell r="C3110">
            <v>2142.14</v>
          </cell>
        </row>
        <row r="3111">
          <cell r="B3111">
            <v>36672</v>
          </cell>
          <cell r="C3111">
            <v>2113.2800000000002</v>
          </cell>
        </row>
        <row r="3112">
          <cell r="B3112">
            <v>36673</v>
          </cell>
          <cell r="C3112">
            <v>2096.52</v>
          </cell>
        </row>
        <row r="3113">
          <cell r="B3113">
            <v>36674</v>
          </cell>
          <cell r="C3113">
            <v>2096.52</v>
          </cell>
        </row>
        <row r="3114">
          <cell r="B3114">
            <v>36675</v>
          </cell>
          <cell r="C3114">
            <v>2096.52</v>
          </cell>
        </row>
        <row r="3115">
          <cell r="B3115">
            <v>36676</v>
          </cell>
          <cell r="C3115">
            <v>2077.2800000000002</v>
          </cell>
        </row>
        <row r="3116">
          <cell r="B3116">
            <v>36677</v>
          </cell>
          <cell r="C3116">
            <v>2084.92</v>
          </cell>
        </row>
        <row r="3117">
          <cell r="B3117">
            <v>36678</v>
          </cell>
          <cell r="C3117">
            <v>2096.96</v>
          </cell>
        </row>
        <row r="3118">
          <cell r="B3118">
            <v>36679</v>
          </cell>
          <cell r="C3118">
            <v>2095.1</v>
          </cell>
        </row>
        <row r="3119">
          <cell r="B3119">
            <v>36680</v>
          </cell>
          <cell r="C3119">
            <v>2118.5700000000002</v>
          </cell>
        </row>
        <row r="3120">
          <cell r="B3120">
            <v>36681</v>
          </cell>
          <cell r="C3120">
            <v>2118.5700000000002</v>
          </cell>
        </row>
        <row r="3121">
          <cell r="B3121">
            <v>36682</v>
          </cell>
          <cell r="C3121">
            <v>2118.5700000000002</v>
          </cell>
        </row>
        <row r="3122">
          <cell r="B3122">
            <v>36683</v>
          </cell>
          <cell r="C3122">
            <v>2118.5700000000002</v>
          </cell>
        </row>
        <row r="3123">
          <cell r="B3123">
            <v>36684</v>
          </cell>
          <cell r="C3123">
            <v>2121.73</v>
          </cell>
        </row>
        <row r="3124">
          <cell r="B3124">
            <v>36685</v>
          </cell>
          <cell r="C3124">
            <v>2127.0300000000002</v>
          </cell>
        </row>
        <row r="3125">
          <cell r="B3125">
            <v>36686</v>
          </cell>
          <cell r="C3125">
            <v>2125.3000000000002</v>
          </cell>
        </row>
        <row r="3126">
          <cell r="B3126">
            <v>36687</v>
          </cell>
          <cell r="C3126">
            <v>2115.86</v>
          </cell>
        </row>
        <row r="3127">
          <cell r="B3127">
            <v>36688</v>
          </cell>
          <cell r="C3127">
            <v>2115.86</v>
          </cell>
        </row>
        <row r="3128">
          <cell r="B3128">
            <v>36689</v>
          </cell>
          <cell r="C3128">
            <v>2115.86</v>
          </cell>
        </row>
        <row r="3129">
          <cell r="B3129">
            <v>36690</v>
          </cell>
          <cell r="C3129">
            <v>2106.9699999999998</v>
          </cell>
        </row>
        <row r="3130">
          <cell r="B3130">
            <v>36691</v>
          </cell>
          <cell r="C3130">
            <v>2122.2399999999998</v>
          </cell>
        </row>
        <row r="3131">
          <cell r="B3131">
            <v>36692</v>
          </cell>
          <cell r="C3131">
            <v>2111.09</v>
          </cell>
        </row>
        <row r="3132">
          <cell r="B3132">
            <v>36693</v>
          </cell>
          <cell r="C3132">
            <v>2110.5700000000002</v>
          </cell>
        </row>
        <row r="3133">
          <cell r="B3133">
            <v>36694</v>
          </cell>
          <cell r="C3133">
            <v>2114.8000000000002</v>
          </cell>
        </row>
        <row r="3134">
          <cell r="B3134">
            <v>36695</v>
          </cell>
          <cell r="C3134">
            <v>2114.8000000000002</v>
          </cell>
        </row>
        <row r="3135">
          <cell r="B3135">
            <v>36696</v>
          </cell>
          <cell r="C3135">
            <v>2114.8000000000002</v>
          </cell>
        </row>
        <row r="3136">
          <cell r="B3136">
            <v>36697</v>
          </cell>
          <cell r="C3136">
            <v>2115.15</v>
          </cell>
        </row>
        <row r="3137">
          <cell r="B3137">
            <v>36698</v>
          </cell>
          <cell r="C3137">
            <v>2123.58</v>
          </cell>
        </row>
        <row r="3138">
          <cell r="B3138">
            <v>36699</v>
          </cell>
          <cell r="C3138">
            <v>2134.34</v>
          </cell>
        </row>
        <row r="3139">
          <cell r="B3139">
            <v>36700</v>
          </cell>
          <cell r="C3139">
            <v>2129.13</v>
          </cell>
        </row>
        <row r="3140">
          <cell r="B3140">
            <v>36701</v>
          </cell>
          <cell r="C3140">
            <v>2123.9899999999998</v>
          </cell>
        </row>
        <row r="3141">
          <cell r="B3141">
            <v>36702</v>
          </cell>
          <cell r="C3141">
            <v>2123.9899999999998</v>
          </cell>
        </row>
        <row r="3142">
          <cell r="B3142">
            <v>36703</v>
          </cell>
          <cell r="C3142">
            <v>2123.9899999999998</v>
          </cell>
        </row>
        <row r="3143">
          <cell r="B3143">
            <v>36704</v>
          </cell>
          <cell r="C3143">
            <v>2123.9899999999998</v>
          </cell>
        </row>
        <row r="3144">
          <cell r="B3144">
            <v>36705</v>
          </cell>
          <cell r="C3144">
            <v>2135.65</v>
          </cell>
        </row>
        <row r="3145">
          <cell r="B3145">
            <v>36706</v>
          </cell>
          <cell r="C3145">
            <v>2136.2199999999998</v>
          </cell>
        </row>
        <row r="3146">
          <cell r="B3146">
            <v>36707</v>
          </cell>
          <cell r="C3146">
            <v>2139.11</v>
          </cell>
        </row>
        <row r="3147">
          <cell r="B3147">
            <v>36708</v>
          </cell>
          <cell r="C3147">
            <v>2150.7600000000002</v>
          </cell>
        </row>
        <row r="3148">
          <cell r="B3148">
            <v>36709</v>
          </cell>
          <cell r="C3148">
            <v>2150.7600000000002</v>
          </cell>
        </row>
        <row r="3149">
          <cell r="B3149">
            <v>36710</v>
          </cell>
          <cell r="C3149">
            <v>2150.7600000000002</v>
          </cell>
        </row>
        <row r="3150">
          <cell r="B3150">
            <v>36711</v>
          </cell>
          <cell r="C3150">
            <v>2150.7600000000002</v>
          </cell>
        </row>
        <row r="3151">
          <cell r="B3151">
            <v>36712</v>
          </cell>
          <cell r="C3151">
            <v>2151.0500000000002</v>
          </cell>
        </row>
        <row r="3152">
          <cell r="B3152">
            <v>36713</v>
          </cell>
          <cell r="C3152">
            <v>2163.44</v>
          </cell>
        </row>
        <row r="3153">
          <cell r="B3153">
            <v>36714</v>
          </cell>
          <cell r="C3153">
            <v>2168.65</v>
          </cell>
        </row>
        <row r="3154">
          <cell r="B3154">
            <v>36715</v>
          </cell>
          <cell r="C3154">
            <v>2165.5100000000002</v>
          </cell>
        </row>
        <row r="3155">
          <cell r="B3155">
            <v>36716</v>
          </cell>
          <cell r="C3155">
            <v>2165.5100000000002</v>
          </cell>
        </row>
        <row r="3156">
          <cell r="B3156">
            <v>36717</v>
          </cell>
          <cell r="C3156">
            <v>2165.5100000000002</v>
          </cell>
        </row>
        <row r="3157">
          <cell r="B3157">
            <v>36718</v>
          </cell>
          <cell r="C3157">
            <v>2171.63</v>
          </cell>
        </row>
        <row r="3158">
          <cell r="B3158">
            <v>36719</v>
          </cell>
          <cell r="C3158">
            <v>2182.56</v>
          </cell>
        </row>
        <row r="3159">
          <cell r="B3159">
            <v>36720</v>
          </cell>
          <cell r="C3159">
            <v>2172.16</v>
          </cell>
        </row>
        <row r="3160">
          <cell r="B3160">
            <v>36721</v>
          </cell>
          <cell r="C3160">
            <v>2166.2199999999998</v>
          </cell>
        </row>
        <row r="3161">
          <cell r="B3161">
            <v>36722</v>
          </cell>
          <cell r="C3161">
            <v>2156.3200000000002</v>
          </cell>
        </row>
        <row r="3162">
          <cell r="B3162">
            <v>36723</v>
          </cell>
          <cell r="C3162">
            <v>2156.3200000000002</v>
          </cell>
        </row>
        <row r="3163">
          <cell r="B3163">
            <v>36724</v>
          </cell>
          <cell r="C3163">
            <v>2156.3200000000002</v>
          </cell>
        </row>
        <row r="3164">
          <cell r="B3164">
            <v>36725</v>
          </cell>
          <cell r="C3164">
            <v>2144.0100000000002</v>
          </cell>
        </row>
        <row r="3165">
          <cell r="B3165">
            <v>36726</v>
          </cell>
          <cell r="C3165">
            <v>2151.56</v>
          </cell>
        </row>
        <row r="3166">
          <cell r="B3166">
            <v>36727</v>
          </cell>
          <cell r="C3166">
            <v>2155.81</v>
          </cell>
        </row>
        <row r="3167">
          <cell r="B3167">
            <v>36728</v>
          </cell>
          <cell r="C3167">
            <v>2155.81</v>
          </cell>
        </row>
        <row r="3168">
          <cell r="B3168">
            <v>36729</v>
          </cell>
          <cell r="C3168">
            <v>2152.3000000000002</v>
          </cell>
        </row>
        <row r="3169">
          <cell r="B3169">
            <v>36730</v>
          </cell>
          <cell r="C3169">
            <v>2152.3000000000002</v>
          </cell>
        </row>
        <row r="3170">
          <cell r="B3170">
            <v>36731</v>
          </cell>
          <cell r="C3170">
            <v>2152.3000000000002</v>
          </cell>
        </row>
        <row r="3171">
          <cell r="B3171">
            <v>36732</v>
          </cell>
          <cell r="C3171">
            <v>2147.65</v>
          </cell>
        </row>
        <row r="3172">
          <cell r="B3172">
            <v>36733</v>
          </cell>
          <cell r="C3172">
            <v>2153.91</v>
          </cell>
        </row>
        <row r="3173">
          <cell r="B3173">
            <v>36734</v>
          </cell>
          <cell r="C3173">
            <v>2165.37</v>
          </cell>
        </row>
        <row r="3174">
          <cell r="B3174">
            <v>36735</v>
          </cell>
          <cell r="C3174">
            <v>2173.7800000000002</v>
          </cell>
        </row>
        <row r="3175">
          <cell r="B3175">
            <v>36736</v>
          </cell>
          <cell r="C3175">
            <v>2172.79</v>
          </cell>
        </row>
        <row r="3176">
          <cell r="B3176">
            <v>36737</v>
          </cell>
          <cell r="C3176">
            <v>2172.79</v>
          </cell>
        </row>
        <row r="3177">
          <cell r="B3177">
            <v>36738</v>
          </cell>
          <cell r="C3177">
            <v>2172.79</v>
          </cell>
        </row>
        <row r="3178">
          <cell r="B3178">
            <v>36739</v>
          </cell>
          <cell r="C3178">
            <v>2174.5500000000002</v>
          </cell>
        </row>
        <row r="3179">
          <cell r="B3179">
            <v>36740</v>
          </cell>
          <cell r="C3179">
            <v>2175.02</v>
          </cell>
        </row>
        <row r="3180">
          <cell r="B3180">
            <v>36741</v>
          </cell>
          <cell r="C3180">
            <v>2173.62</v>
          </cell>
        </row>
        <row r="3181">
          <cell r="B3181">
            <v>36742</v>
          </cell>
          <cell r="C3181">
            <v>2177.67</v>
          </cell>
        </row>
        <row r="3182">
          <cell r="B3182">
            <v>36743</v>
          </cell>
          <cell r="C3182">
            <v>2180.64</v>
          </cell>
        </row>
        <row r="3183">
          <cell r="B3183">
            <v>36744</v>
          </cell>
          <cell r="C3183">
            <v>2180.64</v>
          </cell>
        </row>
        <row r="3184">
          <cell r="B3184">
            <v>36745</v>
          </cell>
          <cell r="C3184">
            <v>2180.64</v>
          </cell>
        </row>
        <row r="3185">
          <cell r="B3185">
            <v>36746</v>
          </cell>
          <cell r="C3185">
            <v>2180.64</v>
          </cell>
        </row>
        <row r="3186">
          <cell r="B3186">
            <v>36747</v>
          </cell>
          <cell r="C3186">
            <v>2176.52</v>
          </cell>
        </row>
        <row r="3187">
          <cell r="B3187">
            <v>36748</v>
          </cell>
          <cell r="C3187">
            <v>2176.17</v>
          </cell>
        </row>
        <row r="3188">
          <cell r="B3188">
            <v>36749</v>
          </cell>
          <cell r="C3188">
            <v>2179.6</v>
          </cell>
        </row>
        <row r="3189">
          <cell r="B3189">
            <v>36750</v>
          </cell>
          <cell r="C3189">
            <v>2180.89</v>
          </cell>
        </row>
        <row r="3190">
          <cell r="B3190">
            <v>36751</v>
          </cell>
          <cell r="C3190">
            <v>2180.89</v>
          </cell>
        </row>
        <row r="3191">
          <cell r="B3191">
            <v>36752</v>
          </cell>
          <cell r="C3191">
            <v>2180.89</v>
          </cell>
        </row>
        <row r="3192">
          <cell r="B3192">
            <v>36753</v>
          </cell>
          <cell r="C3192">
            <v>2180.9899999999998</v>
          </cell>
        </row>
        <row r="3193">
          <cell r="B3193">
            <v>36754</v>
          </cell>
          <cell r="C3193">
            <v>2185.4499999999998</v>
          </cell>
        </row>
        <row r="3194">
          <cell r="B3194">
            <v>36755</v>
          </cell>
          <cell r="C3194">
            <v>2185.46</v>
          </cell>
        </row>
        <row r="3195">
          <cell r="B3195">
            <v>36756</v>
          </cell>
          <cell r="C3195">
            <v>2185.75</v>
          </cell>
        </row>
        <row r="3196">
          <cell r="B3196">
            <v>36757</v>
          </cell>
          <cell r="C3196">
            <v>2183.0100000000002</v>
          </cell>
        </row>
        <row r="3197">
          <cell r="B3197">
            <v>36758</v>
          </cell>
          <cell r="C3197">
            <v>2183.0100000000002</v>
          </cell>
        </row>
        <row r="3198">
          <cell r="B3198">
            <v>36759</v>
          </cell>
          <cell r="C3198">
            <v>2183.0100000000002</v>
          </cell>
        </row>
        <row r="3199">
          <cell r="B3199">
            <v>36760</v>
          </cell>
          <cell r="C3199">
            <v>2183.0100000000002</v>
          </cell>
        </row>
        <row r="3200">
          <cell r="B3200">
            <v>36761</v>
          </cell>
          <cell r="C3200">
            <v>2187.83</v>
          </cell>
        </row>
        <row r="3201">
          <cell r="B3201">
            <v>36762</v>
          </cell>
          <cell r="C3201">
            <v>2196.7199999999998</v>
          </cell>
        </row>
        <row r="3202">
          <cell r="B3202">
            <v>36763</v>
          </cell>
          <cell r="C3202">
            <v>2205.6</v>
          </cell>
        </row>
        <row r="3203">
          <cell r="B3203">
            <v>36764</v>
          </cell>
          <cell r="C3203">
            <v>2208.8200000000002</v>
          </cell>
        </row>
        <row r="3204">
          <cell r="B3204">
            <v>36765</v>
          </cell>
          <cell r="C3204">
            <v>2208.8200000000002</v>
          </cell>
        </row>
        <row r="3205">
          <cell r="B3205">
            <v>36766</v>
          </cell>
          <cell r="C3205">
            <v>2208.8200000000002</v>
          </cell>
        </row>
        <row r="3206">
          <cell r="B3206">
            <v>36767</v>
          </cell>
          <cell r="C3206">
            <v>2208.17</v>
          </cell>
        </row>
        <row r="3207">
          <cell r="B3207">
            <v>36768</v>
          </cell>
          <cell r="C3207">
            <v>2204.2199999999998</v>
          </cell>
        </row>
        <row r="3208">
          <cell r="B3208">
            <v>36769</v>
          </cell>
          <cell r="C3208">
            <v>2208.21</v>
          </cell>
        </row>
        <row r="3209">
          <cell r="B3209">
            <v>36770</v>
          </cell>
          <cell r="C3209">
            <v>2212.9699999999998</v>
          </cell>
        </row>
        <row r="3210">
          <cell r="B3210">
            <v>36771</v>
          </cell>
          <cell r="C3210">
            <v>2214</v>
          </cell>
        </row>
        <row r="3211">
          <cell r="B3211">
            <v>36772</v>
          </cell>
          <cell r="C3211">
            <v>2214</v>
          </cell>
        </row>
        <row r="3212">
          <cell r="B3212">
            <v>36773</v>
          </cell>
          <cell r="C3212">
            <v>2214</v>
          </cell>
        </row>
        <row r="3213">
          <cell r="B3213">
            <v>36774</v>
          </cell>
          <cell r="C3213">
            <v>2210.3200000000002</v>
          </cell>
        </row>
        <row r="3214">
          <cell r="B3214">
            <v>36775</v>
          </cell>
          <cell r="C3214">
            <v>2211.13</v>
          </cell>
        </row>
        <row r="3215">
          <cell r="B3215">
            <v>36776</v>
          </cell>
          <cell r="C3215">
            <v>2211.11</v>
          </cell>
        </row>
        <row r="3216">
          <cell r="B3216">
            <v>36777</v>
          </cell>
          <cell r="C3216">
            <v>2209.1799999999998</v>
          </cell>
        </row>
        <row r="3217">
          <cell r="B3217">
            <v>36778</v>
          </cell>
          <cell r="C3217">
            <v>2204.85</v>
          </cell>
        </row>
        <row r="3218">
          <cell r="B3218">
            <v>36779</v>
          </cell>
          <cell r="C3218">
            <v>2204.85</v>
          </cell>
        </row>
        <row r="3219">
          <cell r="B3219">
            <v>36780</v>
          </cell>
          <cell r="C3219">
            <v>2204.85</v>
          </cell>
        </row>
        <row r="3220">
          <cell r="B3220">
            <v>36781</v>
          </cell>
          <cell r="C3220">
            <v>2206.39</v>
          </cell>
        </row>
        <row r="3221">
          <cell r="B3221">
            <v>36782</v>
          </cell>
          <cell r="C3221">
            <v>2206.9299999999998</v>
          </cell>
        </row>
        <row r="3222">
          <cell r="B3222">
            <v>36783</v>
          </cell>
          <cell r="C3222">
            <v>2208.64</v>
          </cell>
        </row>
        <row r="3223">
          <cell r="B3223">
            <v>36784</v>
          </cell>
          <cell r="C3223">
            <v>2212.73</v>
          </cell>
        </row>
        <row r="3224">
          <cell r="B3224">
            <v>36785</v>
          </cell>
          <cell r="C3224">
            <v>2210.34</v>
          </cell>
        </row>
        <row r="3225">
          <cell r="B3225">
            <v>36786</v>
          </cell>
          <cell r="C3225">
            <v>2210.34</v>
          </cell>
        </row>
        <row r="3226">
          <cell r="B3226">
            <v>36787</v>
          </cell>
          <cell r="C3226">
            <v>2210.34</v>
          </cell>
        </row>
        <row r="3227">
          <cell r="B3227">
            <v>36788</v>
          </cell>
          <cell r="C3227">
            <v>2211.36</v>
          </cell>
        </row>
        <row r="3228">
          <cell r="B3228">
            <v>36789</v>
          </cell>
          <cell r="C3228">
            <v>2210.81</v>
          </cell>
        </row>
        <row r="3229">
          <cell r="B3229">
            <v>36790</v>
          </cell>
          <cell r="C3229">
            <v>2212.9299999999998</v>
          </cell>
        </row>
        <row r="3230">
          <cell r="B3230">
            <v>36791</v>
          </cell>
          <cell r="C3230">
            <v>2223.46</v>
          </cell>
        </row>
        <row r="3231">
          <cell r="B3231">
            <v>36792</v>
          </cell>
          <cell r="C3231">
            <v>2232.2399999999998</v>
          </cell>
        </row>
        <row r="3232">
          <cell r="B3232">
            <v>36793</v>
          </cell>
          <cell r="C3232">
            <v>2232.2399999999998</v>
          </cell>
        </row>
        <row r="3233">
          <cell r="B3233">
            <v>36794</v>
          </cell>
          <cell r="C3233">
            <v>2232.2399999999998</v>
          </cell>
        </row>
        <row r="3234">
          <cell r="B3234">
            <v>36795</v>
          </cell>
          <cell r="C3234">
            <v>2228.0500000000002</v>
          </cell>
        </row>
        <row r="3235">
          <cell r="B3235">
            <v>36796</v>
          </cell>
          <cell r="C3235">
            <v>2222.67</v>
          </cell>
        </row>
        <row r="3236">
          <cell r="B3236">
            <v>36797</v>
          </cell>
          <cell r="C3236">
            <v>2216.9299999999998</v>
          </cell>
        </row>
        <row r="3237">
          <cell r="B3237">
            <v>36798</v>
          </cell>
          <cell r="C3237">
            <v>2211.94</v>
          </cell>
        </row>
        <row r="3238">
          <cell r="B3238">
            <v>36799</v>
          </cell>
          <cell r="C3238">
            <v>2212.2600000000002</v>
          </cell>
        </row>
        <row r="3239">
          <cell r="B3239">
            <v>36800</v>
          </cell>
          <cell r="C3239">
            <v>2212.2600000000002</v>
          </cell>
        </row>
        <row r="3240">
          <cell r="B3240">
            <v>36801</v>
          </cell>
          <cell r="C3240">
            <v>2212.2600000000002</v>
          </cell>
        </row>
        <row r="3241">
          <cell r="B3241">
            <v>36802</v>
          </cell>
          <cell r="C3241">
            <v>2210.4</v>
          </cell>
        </row>
        <row r="3242">
          <cell r="B3242">
            <v>36803</v>
          </cell>
          <cell r="C3242">
            <v>2201.5100000000002</v>
          </cell>
        </row>
        <row r="3243">
          <cell r="B3243">
            <v>36804</v>
          </cell>
          <cell r="C3243">
            <v>2194.98</v>
          </cell>
        </row>
        <row r="3244">
          <cell r="B3244">
            <v>36805</v>
          </cell>
          <cell r="C3244">
            <v>2185.06</v>
          </cell>
        </row>
        <row r="3245">
          <cell r="B3245">
            <v>36806</v>
          </cell>
          <cell r="C3245">
            <v>2187.38</v>
          </cell>
        </row>
        <row r="3246">
          <cell r="B3246">
            <v>36807</v>
          </cell>
          <cell r="C3246">
            <v>2187.38</v>
          </cell>
        </row>
        <row r="3247">
          <cell r="B3247">
            <v>36808</v>
          </cell>
          <cell r="C3247">
            <v>2187.38</v>
          </cell>
        </row>
        <row r="3248">
          <cell r="B3248">
            <v>36809</v>
          </cell>
          <cell r="C3248">
            <v>2184.2600000000002</v>
          </cell>
        </row>
        <row r="3249">
          <cell r="B3249">
            <v>36810</v>
          </cell>
          <cell r="C3249">
            <v>2182.17</v>
          </cell>
        </row>
        <row r="3250">
          <cell r="B3250">
            <v>36811</v>
          </cell>
          <cell r="C3250">
            <v>2175.9699999999998</v>
          </cell>
        </row>
        <row r="3251">
          <cell r="B3251">
            <v>36812</v>
          </cell>
          <cell r="C3251">
            <v>2175.96</v>
          </cell>
        </row>
        <row r="3252">
          <cell r="B3252">
            <v>36813</v>
          </cell>
          <cell r="C3252">
            <v>2180.69</v>
          </cell>
        </row>
        <row r="3253">
          <cell r="B3253">
            <v>36814</v>
          </cell>
          <cell r="C3253">
            <v>2180.69</v>
          </cell>
        </row>
        <row r="3254">
          <cell r="B3254">
            <v>36815</v>
          </cell>
          <cell r="C3254">
            <v>2180.69</v>
          </cell>
        </row>
        <row r="3255">
          <cell r="B3255">
            <v>36816</v>
          </cell>
          <cell r="C3255">
            <v>2180.69</v>
          </cell>
        </row>
        <row r="3256">
          <cell r="B3256">
            <v>36817</v>
          </cell>
          <cell r="C3256">
            <v>2178.13</v>
          </cell>
        </row>
        <row r="3257">
          <cell r="B3257">
            <v>36818</v>
          </cell>
          <cell r="C3257">
            <v>2162.86</v>
          </cell>
        </row>
        <row r="3258">
          <cell r="B3258">
            <v>36819</v>
          </cell>
          <cell r="C3258">
            <v>2152.31</v>
          </cell>
        </row>
        <row r="3259">
          <cell r="B3259">
            <v>36820</v>
          </cell>
          <cell r="C3259">
            <v>2159.79</v>
          </cell>
        </row>
        <row r="3260">
          <cell r="B3260">
            <v>36821</v>
          </cell>
          <cell r="C3260">
            <v>2159.79</v>
          </cell>
        </row>
        <row r="3261">
          <cell r="B3261">
            <v>36822</v>
          </cell>
          <cell r="C3261">
            <v>2159.79</v>
          </cell>
        </row>
        <row r="3262">
          <cell r="B3262">
            <v>36823</v>
          </cell>
          <cell r="C3262">
            <v>2157.84</v>
          </cell>
        </row>
        <row r="3263">
          <cell r="B3263">
            <v>36824</v>
          </cell>
          <cell r="C3263">
            <v>2153.1799999999998</v>
          </cell>
        </row>
        <row r="3264">
          <cell r="B3264">
            <v>36825</v>
          </cell>
          <cell r="C3264">
            <v>2170.3200000000002</v>
          </cell>
        </row>
        <row r="3265">
          <cell r="B3265">
            <v>36826</v>
          </cell>
          <cell r="C3265">
            <v>2167.2600000000002</v>
          </cell>
        </row>
        <row r="3266">
          <cell r="B3266">
            <v>36827</v>
          </cell>
          <cell r="C3266">
            <v>2158.14</v>
          </cell>
        </row>
        <row r="3267">
          <cell r="B3267">
            <v>36828</v>
          </cell>
          <cell r="C3267">
            <v>2158.14</v>
          </cell>
        </row>
        <row r="3268">
          <cell r="B3268">
            <v>36829</v>
          </cell>
          <cell r="C3268">
            <v>2158.14</v>
          </cell>
        </row>
        <row r="3269">
          <cell r="B3269">
            <v>36830</v>
          </cell>
          <cell r="C3269">
            <v>2158.36</v>
          </cell>
        </row>
        <row r="3270">
          <cell r="B3270">
            <v>36831</v>
          </cell>
          <cell r="C3270">
            <v>2147.89</v>
          </cell>
        </row>
        <row r="3271">
          <cell r="B3271">
            <v>36832</v>
          </cell>
          <cell r="C3271">
            <v>2138.9499999999998</v>
          </cell>
        </row>
        <row r="3272">
          <cell r="B3272">
            <v>36833</v>
          </cell>
          <cell r="C3272">
            <v>2136.73</v>
          </cell>
        </row>
        <row r="3273">
          <cell r="B3273">
            <v>36834</v>
          </cell>
          <cell r="C3273">
            <v>2139.21</v>
          </cell>
        </row>
        <row r="3274">
          <cell r="B3274">
            <v>36835</v>
          </cell>
          <cell r="C3274">
            <v>2139.21</v>
          </cell>
        </row>
        <row r="3275">
          <cell r="B3275">
            <v>36836</v>
          </cell>
          <cell r="C3275">
            <v>2139.21</v>
          </cell>
        </row>
        <row r="3276">
          <cell r="B3276">
            <v>36837</v>
          </cell>
          <cell r="C3276">
            <v>2139.21</v>
          </cell>
        </row>
        <row r="3277">
          <cell r="B3277">
            <v>36838</v>
          </cell>
          <cell r="C3277">
            <v>2134.08</v>
          </cell>
        </row>
        <row r="3278">
          <cell r="B3278">
            <v>36839</v>
          </cell>
          <cell r="C3278">
            <v>2124.84</v>
          </cell>
        </row>
        <row r="3279">
          <cell r="B3279">
            <v>36840</v>
          </cell>
          <cell r="C3279">
            <v>2127.5100000000002</v>
          </cell>
        </row>
        <row r="3280">
          <cell r="B3280">
            <v>36841</v>
          </cell>
          <cell r="C3280">
            <v>2126.41</v>
          </cell>
        </row>
        <row r="3281">
          <cell r="B3281">
            <v>36842</v>
          </cell>
          <cell r="C3281">
            <v>2126.41</v>
          </cell>
        </row>
        <row r="3282">
          <cell r="B3282">
            <v>36843</v>
          </cell>
          <cell r="C3282">
            <v>2126.41</v>
          </cell>
        </row>
        <row r="3283">
          <cell r="B3283">
            <v>36844</v>
          </cell>
          <cell r="C3283">
            <v>2126.41</v>
          </cell>
        </row>
        <row r="3284">
          <cell r="B3284">
            <v>36845</v>
          </cell>
          <cell r="C3284">
            <v>2125.17</v>
          </cell>
        </row>
        <row r="3285">
          <cell r="B3285">
            <v>36846</v>
          </cell>
          <cell r="C3285">
            <v>2125.31</v>
          </cell>
        </row>
        <row r="3286">
          <cell r="B3286">
            <v>36847</v>
          </cell>
          <cell r="C3286">
            <v>2121.64</v>
          </cell>
        </row>
        <row r="3287">
          <cell r="B3287">
            <v>36848</v>
          </cell>
          <cell r="C3287">
            <v>2122.63</v>
          </cell>
        </row>
        <row r="3288">
          <cell r="B3288">
            <v>36849</v>
          </cell>
          <cell r="C3288">
            <v>2122.63</v>
          </cell>
        </row>
        <row r="3289">
          <cell r="B3289">
            <v>36850</v>
          </cell>
          <cell r="C3289">
            <v>2122.63</v>
          </cell>
        </row>
        <row r="3290">
          <cell r="B3290">
            <v>36851</v>
          </cell>
          <cell r="C3290">
            <v>2122.61</v>
          </cell>
        </row>
        <row r="3291">
          <cell r="B3291">
            <v>36852</v>
          </cell>
          <cell r="C3291">
            <v>2124.16</v>
          </cell>
        </row>
        <row r="3292">
          <cell r="B3292">
            <v>36853</v>
          </cell>
          <cell r="C3292">
            <v>2131.7600000000002</v>
          </cell>
        </row>
        <row r="3293">
          <cell r="B3293">
            <v>36854</v>
          </cell>
          <cell r="C3293">
            <v>2141.14</v>
          </cell>
        </row>
        <row r="3294">
          <cell r="B3294">
            <v>36855</v>
          </cell>
          <cell r="C3294">
            <v>2141.91</v>
          </cell>
        </row>
        <row r="3295">
          <cell r="B3295">
            <v>36856</v>
          </cell>
          <cell r="C3295">
            <v>2141.91</v>
          </cell>
        </row>
        <row r="3296">
          <cell r="B3296">
            <v>36857</v>
          </cell>
          <cell r="C3296">
            <v>2141.91</v>
          </cell>
        </row>
        <row r="3297">
          <cell r="B3297">
            <v>36858</v>
          </cell>
          <cell r="C3297">
            <v>2158.0500000000002</v>
          </cell>
        </row>
        <row r="3298">
          <cell r="B3298">
            <v>36859</v>
          </cell>
          <cell r="C3298">
            <v>2169.8200000000002</v>
          </cell>
        </row>
        <row r="3299">
          <cell r="B3299">
            <v>36860</v>
          </cell>
          <cell r="C3299">
            <v>2172.84</v>
          </cell>
        </row>
        <row r="3300">
          <cell r="B3300">
            <v>36861</v>
          </cell>
          <cell r="C3300">
            <v>2168.6</v>
          </cell>
        </row>
        <row r="3301">
          <cell r="B3301">
            <v>36862</v>
          </cell>
          <cell r="C3301">
            <v>2174.85</v>
          </cell>
        </row>
        <row r="3302">
          <cell r="B3302">
            <v>36863</v>
          </cell>
          <cell r="C3302">
            <v>2174.85</v>
          </cell>
        </row>
        <row r="3303">
          <cell r="B3303">
            <v>36864</v>
          </cell>
          <cell r="C3303">
            <v>2174.85</v>
          </cell>
        </row>
        <row r="3304">
          <cell r="B3304">
            <v>36865</v>
          </cell>
          <cell r="C3304">
            <v>2180.3000000000002</v>
          </cell>
        </row>
        <row r="3305">
          <cell r="B3305">
            <v>36866</v>
          </cell>
          <cell r="C3305">
            <v>2184.1799999999998</v>
          </cell>
        </row>
        <row r="3306">
          <cell r="B3306">
            <v>36867</v>
          </cell>
          <cell r="C3306">
            <v>2174.29</v>
          </cell>
        </row>
        <row r="3307">
          <cell r="B3307">
            <v>36868</v>
          </cell>
          <cell r="C3307">
            <v>2176.33</v>
          </cell>
        </row>
        <row r="3308">
          <cell r="B3308">
            <v>36869</v>
          </cell>
          <cell r="C3308">
            <v>2176.33</v>
          </cell>
        </row>
        <row r="3309">
          <cell r="B3309">
            <v>36870</v>
          </cell>
          <cell r="C3309">
            <v>2176.33</v>
          </cell>
        </row>
        <row r="3310">
          <cell r="B3310">
            <v>36871</v>
          </cell>
          <cell r="C3310">
            <v>2176.33</v>
          </cell>
        </row>
        <row r="3311">
          <cell r="B3311">
            <v>36872</v>
          </cell>
          <cell r="C3311">
            <v>2175.5700000000002</v>
          </cell>
        </row>
        <row r="3312">
          <cell r="B3312">
            <v>36873</v>
          </cell>
          <cell r="C3312">
            <v>2183.08</v>
          </cell>
        </row>
        <row r="3313">
          <cell r="B3313">
            <v>36874</v>
          </cell>
          <cell r="C3313">
            <v>2186.87</v>
          </cell>
        </row>
        <row r="3314">
          <cell r="B3314">
            <v>36875</v>
          </cell>
          <cell r="C3314">
            <v>2184.7600000000002</v>
          </cell>
        </row>
        <row r="3315">
          <cell r="B3315">
            <v>36876</v>
          </cell>
          <cell r="C3315">
            <v>2175.91</v>
          </cell>
        </row>
        <row r="3316">
          <cell r="B3316">
            <v>36877</v>
          </cell>
          <cell r="C3316">
            <v>2175.91</v>
          </cell>
        </row>
        <row r="3317">
          <cell r="B3317">
            <v>36878</v>
          </cell>
          <cell r="C3317">
            <v>2175.91</v>
          </cell>
        </row>
        <row r="3318">
          <cell r="B3318">
            <v>36879</v>
          </cell>
          <cell r="C3318">
            <v>2179.13</v>
          </cell>
        </row>
        <row r="3319">
          <cell r="B3319">
            <v>36880</v>
          </cell>
          <cell r="C3319">
            <v>2187.17</v>
          </cell>
        </row>
        <row r="3320">
          <cell r="B3320">
            <v>36881</v>
          </cell>
          <cell r="C3320">
            <v>2185.0500000000002</v>
          </cell>
        </row>
        <row r="3321">
          <cell r="B3321">
            <v>36882</v>
          </cell>
          <cell r="C3321">
            <v>2187.02</v>
          </cell>
        </row>
        <row r="3322">
          <cell r="B3322">
            <v>36883</v>
          </cell>
          <cell r="C3322">
            <v>2193.5700000000002</v>
          </cell>
        </row>
        <row r="3323">
          <cell r="B3323">
            <v>36884</v>
          </cell>
          <cell r="C3323">
            <v>2193.5700000000002</v>
          </cell>
        </row>
        <row r="3324">
          <cell r="B3324">
            <v>36885</v>
          </cell>
          <cell r="C3324">
            <v>2193.5700000000002</v>
          </cell>
        </row>
        <row r="3325">
          <cell r="B3325">
            <v>36886</v>
          </cell>
          <cell r="C3325">
            <v>2193.5700000000002</v>
          </cell>
        </row>
        <row r="3326">
          <cell r="B3326">
            <v>36887</v>
          </cell>
          <cell r="C3326">
            <v>2196.7600000000002</v>
          </cell>
        </row>
        <row r="3327">
          <cell r="B3327">
            <v>36888</v>
          </cell>
          <cell r="C3327">
            <v>2215.35</v>
          </cell>
        </row>
        <row r="3328">
          <cell r="B3328">
            <v>36889</v>
          </cell>
          <cell r="C3328">
            <v>2229.1799999999998</v>
          </cell>
        </row>
        <row r="3329">
          <cell r="B3329">
            <v>36890</v>
          </cell>
          <cell r="C3329">
            <v>2229.1799999999998</v>
          </cell>
        </row>
        <row r="3330">
          <cell r="B3330">
            <v>36891</v>
          </cell>
          <cell r="C3330">
            <v>2229.1799999999998</v>
          </cell>
        </row>
        <row r="3331">
          <cell r="B3331">
            <v>36892</v>
          </cell>
          <cell r="C3331">
            <v>2229.1799999999998</v>
          </cell>
        </row>
        <row r="3332">
          <cell r="B3332">
            <v>36893</v>
          </cell>
          <cell r="C3332">
            <v>2229.1799999999998</v>
          </cell>
        </row>
        <row r="3333">
          <cell r="B3333">
            <v>36894</v>
          </cell>
          <cell r="C3333">
            <v>2219.6</v>
          </cell>
        </row>
        <row r="3334">
          <cell r="B3334">
            <v>36895</v>
          </cell>
          <cell r="C3334">
            <v>2224.38</v>
          </cell>
        </row>
        <row r="3335">
          <cell r="B3335">
            <v>36896</v>
          </cell>
          <cell r="C3335">
            <v>2239.89</v>
          </cell>
        </row>
        <row r="3336">
          <cell r="B3336">
            <v>36897</v>
          </cell>
          <cell r="C3336">
            <v>2243.16</v>
          </cell>
        </row>
        <row r="3337">
          <cell r="B3337">
            <v>36898</v>
          </cell>
          <cell r="C3337">
            <v>2243.16</v>
          </cell>
        </row>
        <row r="3338">
          <cell r="B3338">
            <v>36899</v>
          </cell>
          <cell r="C3338">
            <v>2243.16</v>
          </cell>
        </row>
        <row r="3339">
          <cell r="B3339">
            <v>36900</v>
          </cell>
          <cell r="C3339">
            <v>2243.16</v>
          </cell>
        </row>
        <row r="3340">
          <cell r="B3340">
            <v>36901</v>
          </cell>
          <cell r="C3340">
            <v>2235.4299999999998</v>
          </cell>
        </row>
        <row r="3341">
          <cell r="B3341">
            <v>36902</v>
          </cell>
          <cell r="C3341">
            <v>2230.14</v>
          </cell>
        </row>
        <row r="3342">
          <cell r="B3342">
            <v>36903</v>
          </cell>
          <cell r="C3342">
            <v>2246.58</v>
          </cell>
        </row>
        <row r="3343">
          <cell r="B3343">
            <v>36904</v>
          </cell>
          <cell r="C3343">
            <v>2251.75</v>
          </cell>
        </row>
        <row r="3344">
          <cell r="B3344">
            <v>36905</v>
          </cell>
          <cell r="C3344">
            <v>2251.75</v>
          </cell>
        </row>
        <row r="3345">
          <cell r="B3345">
            <v>36906</v>
          </cell>
          <cell r="C3345">
            <v>2251.75</v>
          </cell>
        </row>
        <row r="3346">
          <cell r="B3346">
            <v>36907</v>
          </cell>
          <cell r="C3346">
            <v>2248.61</v>
          </cell>
        </row>
        <row r="3347">
          <cell r="B3347">
            <v>36908</v>
          </cell>
          <cell r="C3347">
            <v>2245.89</v>
          </cell>
        </row>
        <row r="3348">
          <cell r="B3348">
            <v>36909</v>
          </cell>
          <cell r="C3348">
            <v>2236.46</v>
          </cell>
        </row>
        <row r="3349">
          <cell r="B3349">
            <v>36910</v>
          </cell>
          <cell r="C3349">
            <v>2246.7399999999998</v>
          </cell>
        </row>
        <row r="3350">
          <cell r="B3350">
            <v>36911</v>
          </cell>
          <cell r="C3350">
            <v>2244.59</v>
          </cell>
        </row>
        <row r="3351">
          <cell r="B3351">
            <v>36912</v>
          </cell>
          <cell r="C3351">
            <v>2244.59</v>
          </cell>
        </row>
        <row r="3352">
          <cell r="B3352">
            <v>36913</v>
          </cell>
          <cell r="C3352">
            <v>2244.59</v>
          </cell>
        </row>
        <row r="3353">
          <cell r="B3353">
            <v>36914</v>
          </cell>
          <cell r="C3353">
            <v>2240.02</v>
          </cell>
        </row>
        <row r="3354">
          <cell r="B3354">
            <v>36915</v>
          </cell>
          <cell r="C3354">
            <v>2255.8200000000002</v>
          </cell>
        </row>
        <row r="3355">
          <cell r="B3355">
            <v>36916</v>
          </cell>
          <cell r="C3355">
            <v>2254.35</v>
          </cell>
        </row>
        <row r="3356">
          <cell r="B3356">
            <v>36917</v>
          </cell>
          <cell r="C3356">
            <v>2250.0300000000002</v>
          </cell>
        </row>
        <row r="3357">
          <cell r="B3357">
            <v>36918</v>
          </cell>
          <cell r="C3357">
            <v>2245.46</v>
          </cell>
        </row>
        <row r="3358">
          <cell r="B3358">
            <v>36919</v>
          </cell>
          <cell r="C3358">
            <v>2245.46</v>
          </cell>
        </row>
        <row r="3359">
          <cell r="B3359">
            <v>36920</v>
          </cell>
          <cell r="C3359">
            <v>2245.46</v>
          </cell>
        </row>
        <row r="3360">
          <cell r="B3360">
            <v>36921</v>
          </cell>
          <cell r="C3360">
            <v>2240.56</v>
          </cell>
        </row>
        <row r="3361">
          <cell r="B3361">
            <v>36922</v>
          </cell>
          <cell r="C3361">
            <v>2240.8000000000002</v>
          </cell>
        </row>
        <row r="3362">
          <cell r="B3362">
            <v>36923</v>
          </cell>
          <cell r="C3362">
            <v>2242.08</v>
          </cell>
        </row>
        <row r="3363">
          <cell r="B3363">
            <v>36924</v>
          </cell>
          <cell r="C3363">
            <v>2240.04</v>
          </cell>
        </row>
        <row r="3364">
          <cell r="B3364">
            <v>36925</v>
          </cell>
          <cell r="C3364">
            <v>2242.1999999999998</v>
          </cell>
        </row>
        <row r="3365">
          <cell r="B3365">
            <v>36926</v>
          </cell>
          <cell r="C3365">
            <v>2242.1999999999998</v>
          </cell>
        </row>
        <row r="3366">
          <cell r="B3366">
            <v>36927</v>
          </cell>
          <cell r="C3366">
            <v>2242.1999999999998</v>
          </cell>
        </row>
        <row r="3367">
          <cell r="B3367">
            <v>36928</v>
          </cell>
          <cell r="C3367">
            <v>2238.35</v>
          </cell>
        </row>
        <row r="3368">
          <cell r="B3368">
            <v>36929</v>
          </cell>
          <cell r="C3368">
            <v>2235.0300000000002</v>
          </cell>
        </row>
        <row r="3369">
          <cell r="B3369">
            <v>36930</v>
          </cell>
          <cell r="C3369">
            <v>2238.09</v>
          </cell>
        </row>
        <row r="3370">
          <cell r="B3370">
            <v>36931</v>
          </cell>
          <cell r="C3370">
            <v>2242.6799999999998</v>
          </cell>
        </row>
        <row r="3371">
          <cell r="B3371">
            <v>36932</v>
          </cell>
          <cell r="C3371">
            <v>2237.58</v>
          </cell>
        </row>
        <row r="3372">
          <cell r="B3372">
            <v>36933</v>
          </cell>
          <cell r="C3372">
            <v>2237.58</v>
          </cell>
        </row>
        <row r="3373">
          <cell r="B3373">
            <v>36934</v>
          </cell>
          <cell r="C3373">
            <v>2237.58</v>
          </cell>
        </row>
        <row r="3374">
          <cell r="B3374">
            <v>36935</v>
          </cell>
          <cell r="C3374">
            <v>2229.59</v>
          </cell>
        </row>
        <row r="3375">
          <cell r="B3375">
            <v>36936</v>
          </cell>
          <cell r="C3375">
            <v>2237.37</v>
          </cell>
        </row>
        <row r="3376">
          <cell r="B3376">
            <v>36937</v>
          </cell>
          <cell r="C3376">
            <v>2239.0300000000002</v>
          </cell>
        </row>
        <row r="3377">
          <cell r="B3377">
            <v>36938</v>
          </cell>
          <cell r="C3377">
            <v>2238.61</v>
          </cell>
        </row>
        <row r="3378">
          <cell r="B3378">
            <v>36939</v>
          </cell>
          <cell r="C3378">
            <v>2238.5100000000002</v>
          </cell>
        </row>
        <row r="3379">
          <cell r="B3379">
            <v>36940</v>
          </cell>
          <cell r="C3379">
            <v>2238.5100000000002</v>
          </cell>
        </row>
        <row r="3380">
          <cell r="B3380">
            <v>36941</v>
          </cell>
          <cell r="C3380">
            <v>2238.5100000000002</v>
          </cell>
        </row>
        <row r="3381">
          <cell r="B3381">
            <v>36942</v>
          </cell>
          <cell r="C3381">
            <v>2245.16</v>
          </cell>
        </row>
        <row r="3382">
          <cell r="B3382">
            <v>36943</v>
          </cell>
          <cell r="C3382">
            <v>2247.09</v>
          </cell>
        </row>
        <row r="3383">
          <cell r="B3383">
            <v>36944</v>
          </cell>
          <cell r="C3383">
            <v>2252.65</v>
          </cell>
        </row>
        <row r="3384">
          <cell r="B3384">
            <v>36945</v>
          </cell>
          <cell r="C3384">
            <v>2252.86</v>
          </cell>
        </row>
        <row r="3385">
          <cell r="B3385">
            <v>36946</v>
          </cell>
          <cell r="C3385">
            <v>2257.6999999999998</v>
          </cell>
        </row>
        <row r="3386">
          <cell r="B3386">
            <v>36947</v>
          </cell>
          <cell r="C3386">
            <v>2257.6999999999998</v>
          </cell>
        </row>
        <row r="3387">
          <cell r="B3387">
            <v>36948</v>
          </cell>
          <cell r="C3387">
            <v>2257.6999999999998</v>
          </cell>
        </row>
        <row r="3388">
          <cell r="B3388">
            <v>36949</v>
          </cell>
          <cell r="C3388">
            <v>2256.42</v>
          </cell>
        </row>
        <row r="3389">
          <cell r="B3389">
            <v>36950</v>
          </cell>
          <cell r="C3389">
            <v>2257.4499999999998</v>
          </cell>
        </row>
        <row r="3390">
          <cell r="B3390">
            <v>36951</v>
          </cell>
          <cell r="C3390">
            <v>2259.64</v>
          </cell>
        </row>
        <row r="3391">
          <cell r="B3391">
            <v>36952</v>
          </cell>
          <cell r="C3391">
            <v>2265.44</v>
          </cell>
        </row>
        <row r="3392">
          <cell r="B3392">
            <v>36953</v>
          </cell>
          <cell r="C3392">
            <v>2264.09</v>
          </cell>
        </row>
        <row r="3393">
          <cell r="B3393">
            <v>36954</v>
          </cell>
          <cell r="C3393">
            <v>2264.09</v>
          </cell>
        </row>
        <row r="3394">
          <cell r="B3394">
            <v>36955</v>
          </cell>
          <cell r="C3394">
            <v>2264.09</v>
          </cell>
        </row>
        <row r="3395">
          <cell r="B3395">
            <v>36956</v>
          </cell>
          <cell r="C3395">
            <v>2259.0700000000002</v>
          </cell>
        </row>
        <row r="3396">
          <cell r="B3396">
            <v>36957</v>
          </cell>
          <cell r="C3396">
            <v>2260.33</v>
          </cell>
        </row>
        <row r="3397">
          <cell r="B3397">
            <v>36958</v>
          </cell>
          <cell r="C3397">
            <v>2262.06</v>
          </cell>
        </row>
        <row r="3398">
          <cell r="B3398">
            <v>36959</v>
          </cell>
          <cell r="C3398">
            <v>2262.5500000000002</v>
          </cell>
        </row>
        <row r="3399">
          <cell r="B3399">
            <v>36960</v>
          </cell>
          <cell r="C3399">
            <v>2264.0100000000002</v>
          </cell>
        </row>
        <row r="3400">
          <cell r="B3400">
            <v>36961</v>
          </cell>
          <cell r="C3400">
            <v>2264.0100000000002</v>
          </cell>
        </row>
        <row r="3401">
          <cell r="B3401">
            <v>36962</v>
          </cell>
          <cell r="C3401">
            <v>2264.0100000000002</v>
          </cell>
        </row>
        <row r="3402">
          <cell r="B3402">
            <v>36963</v>
          </cell>
          <cell r="C3402">
            <v>2275.98</v>
          </cell>
        </row>
        <row r="3403">
          <cell r="B3403">
            <v>36964</v>
          </cell>
          <cell r="C3403">
            <v>2275.92</v>
          </cell>
        </row>
        <row r="3404">
          <cell r="B3404">
            <v>36965</v>
          </cell>
          <cell r="C3404">
            <v>2282.0100000000002</v>
          </cell>
        </row>
        <row r="3405">
          <cell r="B3405">
            <v>36966</v>
          </cell>
          <cell r="C3405">
            <v>2281.02</v>
          </cell>
        </row>
        <row r="3406">
          <cell r="B3406">
            <v>36967</v>
          </cell>
          <cell r="C3406">
            <v>2282.96</v>
          </cell>
        </row>
        <row r="3407">
          <cell r="B3407">
            <v>36968</v>
          </cell>
          <cell r="C3407">
            <v>2282.96</v>
          </cell>
        </row>
        <row r="3408">
          <cell r="B3408">
            <v>36969</v>
          </cell>
          <cell r="C3408">
            <v>2282.96</v>
          </cell>
        </row>
        <row r="3409">
          <cell r="B3409">
            <v>36970</v>
          </cell>
          <cell r="C3409">
            <v>2282.96</v>
          </cell>
        </row>
        <row r="3410">
          <cell r="B3410">
            <v>36971</v>
          </cell>
          <cell r="C3410">
            <v>2282.17</v>
          </cell>
        </row>
        <row r="3411">
          <cell r="B3411">
            <v>36972</v>
          </cell>
          <cell r="C3411">
            <v>2284.04</v>
          </cell>
        </row>
        <row r="3412">
          <cell r="B3412">
            <v>36973</v>
          </cell>
          <cell r="C3412">
            <v>2290.02</v>
          </cell>
        </row>
        <row r="3413">
          <cell r="B3413">
            <v>36974</v>
          </cell>
          <cell r="C3413">
            <v>2295.7399999999998</v>
          </cell>
        </row>
        <row r="3414">
          <cell r="B3414">
            <v>36975</v>
          </cell>
          <cell r="C3414">
            <v>2295.7399999999998</v>
          </cell>
        </row>
        <row r="3415">
          <cell r="B3415">
            <v>36976</v>
          </cell>
          <cell r="C3415">
            <v>2295.7399999999998</v>
          </cell>
        </row>
        <row r="3416">
          <cell r="B3416">
            <v>36977</v>
          </cell>
          <cell r="C3416">
            <v>2293.9899999999998</v>
          </cell>
        </row>
        <row r="3417">
          <cell r="B3417">
            <v>36978</v>
          </cell>
          <cell r="C3417">
            <v>2299.6799999999998</v>
          </cell>
        </row>
        <row r="3418">
          <cell r="B3418">
            <v>36979</v>
          </cell>
          <cell r="C3418">
            <v>2303.86</v>
          </cell>
        </row>
        <row r="3419">
          <cell r="B3419">
            <v>36980</v>
          </cell>
          <cell r="C3419">
            <v>2309.83</v>
          </cell>
        </row>
        <row r="3420">
          <cell r="B3420">
            <v>36981</v>
          </cell>
          <cell r="C3420">
            <v>2310.5700000000002</v>
          </cell>
        </row>
        <row r="3421">
          <cell r="B3421">
            <v>36982</v>
          </cell>
          <cell r="C3421">
            <v>2310.5700000000002</v>
          </cell>
        </row>
        <row r="3422">
          <cell r="B3422">
            <v>36983</v>
          </cell>
          <cell r="C3422">
            <v>2310.5700000000002</v>
          </cell>
        </row>
        <row r="3423">
          <cell r="B3423">
            <v>36984</v>
          </cell>
          <cell r="C3423">
            <v>2304.19</v>
          </cell>
        </row>
        <row r="3424">
          <cell r="B3424">
            <v>36985</v>
          </cell>
          <cell r="C3424">
            <v>2308.64</v>
          </cell>
        </row>
        <row r="3425">
          <cell r="B3425">
            <v>36986</v>
          </cell>
          <cell r="C3425">
            <v>2315.81</v>
          </cell>
        </row>
        <row r="3426">
          <cell r="B3426">
            <v>36987</v>
          </cell>
          <cell r="C3426">
            <v>2317.46</v>
          </cell>
        </row>
        <row r="3427">
          <cell r="B3427">
            <v>36988</v>
          </cell>
          <cell r="C3427">
            <v>2318.58</v>
          </cell>
        </row>
        <row r="3428">
          <cell r="B3428">
            <v>36989</v>
          </cell>
          <cell r="C3428">
            <v>2318.58</v>
          </cell>
        </row>
        <row r="3429">
          <cell r="B3429">
            <v>36990</v>
          </cell>
          <cell r="C3429">
            <v>2318.58</v>
          </cell>
        </row>
        <row r="3430">
          <cell r="B3430">
            <v>36991</v>
          </cell>
          <cell r="C3430">
            <v>2315.21</v>
          </cell>
        </row>
        <row r="3431">
          <cell r="B3431">
            <v>36992</v>
          </cell>
          <cell r="C3431">
            <v>2309.84</v>
          </cell>
        </row>
        <row r="3432">
          <cell r="B3432">
            <v>36993</v>
          </cell>
          <cell r="C3432">
            <v>2314.0700000000002</v>
          </cell>
        </row>
        <row r="3433">
          <cell r="B3433">
            <v>36994</v>
          </cell>
          <cell r="C3433">
            <v>2314.0700000000002</v>
          </cell>
        </row>
        <row r="3434">
          <cell r="B3434">
            <v>36995</v>
          </cell>
          <cell r="C3434">
            <v>2314.0700000000002</v>
          </cell>
        </row>
        <row r="3435">
          <cell r="B3435">
            <v>36996</v>
          </cell>
          <cell r="C3435">
            <v>2314.0700000000002</v>
          </cell>
        </row>
        <row r="3436">
          <cell r="B3436">
            <v>36997</v>
          </cell>
          <cell r="C3436">
            <v>2314.0700000000002</v>
          </cell>
        </row>
        <row r="3437">
          <cell r="B3437">
            <v>36998</v>
          </cell>
          <cell r="C3437">
            <v>2320.1799999999998</v>
          </cell>
        </row>
        <row r="3438">
          <cell r="B3438">
            <v>36999</v>
          </cell>
          <cell r="C3438">
            <v>2319.5700000000002</v>
          </cell>
        </row>
        <row r="3439">
          <cell r="B3439">
            <v>37000</v>
          </cell>
          <cell r="C3439">
            <v>2316.91</v>
          </cell>
        </row>
        <row r="3440">
          <cell r="B3440">
            <v>37001</v>
          </cell>
          <cell r="C3440">
            <v>2327.08</v>
          </cell>
        </row>
        <row r="3441">
          <cell r="B3441">
            <v>37002</v>
          </cell>
          <cell r="C3441">
            <v>2329.73</v>
          </cell>
        </row>
        <row r="3442">
          <cell r="B3442">
            <v>37003</v>
          </cell>
          <cell r="C3442">
            <v>2329.73</v>
          </cell>
        </row>
        <row r="3443">
          <cell r="B3443">
            <v>37004</v>
          </cell>
          <cell r="C3443">
            <v>2329.73</v>
          </cell>
        </row>
        <row r="3444">
          <cell r="B3444">
            <v>37005</v>
          </cell>
          <cell r="C3444">
            <v>2334.38</v>
          </cell>
        </row>
        <row r="3445">
          <cell r="B3445">
            <v>37006</v>
          </cell>
          <cell r="C3445">
            <v>2339.16</v>
          </cell>
        </row>
        <row r="3446">
          <cell r="B3446">
            <v>37007</v>
          </cell>
          <cell r="C3446">
            <v>2345.21</v>
          </cell>
        </row>
        <row r="3447">
          <cell r="B3447">
            <v>37008</v>
          </cell>
          <cell r="C3447">
            <v>2345.5700000000002</v>
          </cell>
        </row>
        <row r="3448">
          <cell r="B3448">
            <v>37009</v>
          </cell>
          <cell r="C3448">
            <v>2346.73</v>
          </cell>
        </row>
        <row r="3449">
          <cell r="B3449">
            <v>37010</v>
          </cell>
          <cell r="C3449">
            <v>2346.73</v>
          </cell>
        </row>
        <row r="3450">
          <cell r="B3450">
            <v>37011</v>
          </cell>
          <cell r="C3450">
            <v>2346.73</v>
          </cell>
        </row>
        <row r="3451">
          <cell r="B3451">
            <v>37012</v>
          </cell>
          <cell r="C3451">
            <v>2341.09</v>
          </cell>
        </row>
        <row r="3452">
          <cell r="B3452">
            <v>37013</v>
          </cell>
          <cell r="C3452">
            <v>2341.09</v>
          </cell>
        </row>
        <row r="3453">
          <cell r="B3453">
            <v>37014</v>
          </cell>
          <cell r="C3453">
            <v>2345.96</v>
          </cell>
        </row>
        <row r="3454">
          <cell r="B3454">
            <v>37015</v>
          </cell>
          <cell r="C3454">
            <v>2349.9499999999998</v>
          </cell>
        </row>
        <row r="3455">
          <cell r="B3455">
            <v>37016</v>
          </cell>
          <cell r="C3455">
            <v>2354.4699999999998</v>
          </cell>
        </row>
        <row r="3456">
          <cell r="B3456">
            <v>37017</v>
          </cell>
          <cell r="C3456">
            <v>2354.4699999999998</v>
          </cell>
        </row>
        <row r="3457">
          <cell r="B3457">
            <v>37018</v>
          </cell>
          <cell r="C3457">
            <v>2354.4699999999998</v>
          </cell>
        </row>
        <row r="3458">
          <cell r="B3458">
            <v>37019</v>
          </cell>
          <cell r="C3458">
            <v>2359.54</v>
          </cell>
        </row>
        <row r="3459">
          <cell r="B3459">
            <v>37020</v>
          </cell>
          <cell r="C3459">
            <v>2359.2199999999998</v>
          </cell>
        </row>
        <row r="3460">
          <cell r="B3460">
            <v>37021</v>
          </cell>
          <cell r="C3460">
            <v>2359.98</v>
          </cell>
        </row>
        <row r="3461">
          <cell r="B3461">
            <v>37022</v>
          </cell>
          <cell r="C3461">
            <v>2359.79</v>
          </cell>
        </row>
        <row r="3462">
          <cell r="B3462">
            <v>37023</v>
          </cell>
          <cell r="C3462">
            <v>2367.3000000000002</v>
          </cell>
        </row>
        <row r="3463">
          <cell r="B3463">
            <v>37024</v>
          </cell>
          <cell r="C3463">
            <v>2367.3000000000002</v>
          </cell>
        </row>
        <row r="3464">
          <cell r="B3464">
            <v>37025</v>
          </cell>
          <cell r="C3464">
            <v>2367.3000000000002</v>
          </cell>
        </row>
        <row r="3465">
          <cell r="B3465">
            <v>37026</v>
          </cell>
          <cell r="C3465">
            <v>2371.58</v>
          </cell>
        </row>
        <row r="3466">
          <cell r="B3466">
            <v>37027</v>
          </cell>
          <cell r="C3466">
            <v>2376.9299999999998</v>
          </cell>
        </row>
        <row r="3467">
          <cell r="B3467">
            <v>37028</v>
          </cell>
          <cell r="C3467">
            <v>2378.21</v>
          </cell>
        </row>
        <row r="3468">
          <cell r="B3468">
            <v>37029</v>
          </cell>
          <cell r="C3468">
            <v>2378.41</v>
          </cell>
        </row>
        <row r="3469">
          <cell r="B3469">
            <v>37030</v>
          </cell>
          <cell r="C3469">
            <v>2348.88</v>
          </cell>
        </row>
        <row r="3470">
          <cell r="B3470">
            <v>37031</v>
          </cell>
          <cell r="C3470">
            <v>2348.88</v>
          </cell>
        </row>
        <row r="3471">
          <cell r="B3471">
            <v>37032</v>
          </cell>
          <cell r="C3471">
            <v>2348.88</v>
          </cell>
        </row>
        <row r="3472">
          <cell r="B3472">
            <v>37033</v>
          </cell>
          <cell r="C3472">
            <v>2314.75</v>
          </cell>
        </row>
        <row r="3473">
          <cell r="B3473">
            <v>37034</v>
          </cell>
          <cell r="C3473">
            <v>2316.7199999999998</v>
          </cell>
        </row>
        <row r="3474">
          <cell r="B3474">
            <v>37035</v>
          </cell>
          <cell r="C3474">
            <v>2295.23</v>
          </cell>
        </row>
        <row r="3475">
          <cell r="B3475">
            <v>37036</v>
          </cell>
          <cell r="C3475">
            <v>2310.64</v>
          </cell>
        </row>
        <row r="3476">
          <cell r="B3476">
            <v>37037</v>
          </cell>
          <cell r="C3476">
            <v>2339.98</v>
          </cell>
        </row>
        <row r="3477">
          <cell r="B3477">
            <v>37038</v>
          </cell>
          <cell r="C3477">
            <v>2339.98</v>
          </cell>
        </row>
        <row r="3478">
          <cell r="B3478">
            <v>37039</v>
          </cell>
          <cell r="C3478">
            <v>2339.98</v>
          </cell>
        </row>
        <row r="3479">
          <cell r="B3479">
            <v>37040</v>
          </cell>
          <cell r="C3479">
            <v>2339.98</v>
          </cell>
        </row>
        <row r="3480">
          <cell r="B3480">
            <v>37041</v>
          </cell>
          <cell r="C3480">
            <v>2331.91</v>
          </cell>
        </row>
        <row r="3481">
          <cell r="B3481">
            <v>37042</v>
          </cell>
          <cell r="C3481">
            <v>2324.98</v>
          </cell>
        </row>
        <row r="3482">
          <cell r="B3482">
            <v>37043</v>
          </cell>
          <cell r="C3482">
            <v>2327.25</v>
          </cell>
        </row>
        <row r="3483">
          <cell r="B3483">
            <v>37044</v>
          </cell>
          <cell r="C3483">
            <v>2319.16</v>
          </cell>
        </row>
        <row r="3484">
          <cell r="B3484">
            <v>37045</v>
          </cell>
          <cell r="C3484">
            <v>2319.16</v>
          </cell>
        </row>
        <row r="3485">
          <cell r="B3485">
            <v>37046</v>
          </cell>
          <cell r="C3485">
            <v>2319.16</v>
          </cell>
        </row>
        <row r="3486">
          <cell r="B3486">
            <v>37047</v>
          </cell>
          <cell r="C3486">
            <v>2296.88</v>
          </cell>
        </row>
        <row r="3487">
          <cell r="B3487">
            <v>37048</v>
          </cell>
          <cell r="C3487">
            <v>2303.37</v>
          </cell>
        </row>
        <row r="3488">
          <cell r="B3488">
            <v>37049</v>
          </cell>
          <cell r="C3488">
            <v>2303.38</v>
          </cell>
        </row>
        <row r="3489">
          <cell r="B3489">
            <v>37050</v>
          </cell>
          <cell r="C3489">
            <v>2303.41</v>
          </cell>
        </row>
        <row r="3490">
          <cell r="B3490">
            <v>37051</v>
          </cell>
          <cell r="C3490">
            <v>2296.31</v>
          </cell>
        </row>
        <row r="3491">
          <cell r="B3491">
            <v>37052</v>
          </cell>
          <cell r="C3491">
            <v>2296.31</v>
          </cell>
        </row>
        <row r="3492">
          <cell r="B3492">
            <v>37053</v>
          </cell>
          <cell r="C3492">
            <v>2296.31</v>
          </cell>
        </row>
        <row r="3493">
          <cell r="B3493">
            <v>37054</v>
          </cell>
          <cell r="C3493">
            <v>2309.06</v>
          </cell>
        </row>
        <row r="3494">
          <cell r="B3494">
            <v>37055</v>
          </cell>
          <cell r="C3494">
            <v>2313.7399999999998</v>
          </cell>
        </row>
        <row r="3495">
          <cell r="B3495">
            <v>37056</v>
          </cell>
          <cell r="C3495">
            <v>2302.16</v>
          </cell>
        </row>
        <row r="3496">
          <cell r="B3496">
            <v>37057</v>
          </cell>
          <cell r="C3496">
            <v>2300.1799999999998</v>
          </cell>
        </row>
        <row r="3497">
          <cell r="B3497">
            <v>37058</v>
          </cell>
          <cell r="C3497">
            <v>2303.13</v>
          </cell>
        </row>
        <row r="3498">
          <cell r="B3498">
            <v>37059</v>
          </cell>
          <cell r="C3498">
            <v>2303.13</v>
          </cell>
        </row>
        <row r="3499">
          <cell r="B3499">
            <v>37060</v>
          </cell>
          <cell r="C3499">
            <v>2303.13</v>
          </cell>
        </row>
        <row r="3500">
          <cell r="B3500">
            <v>37061</v>
          </cell>
          <cell r="C3500">
            <v>2303.13</v>
          </cell>
        </row>
        <row r="3501">
          <cell r="B3501">
            <v>37062</v>
          </cell>
          <cell r="C3501">
            <v>2307.7800000000002</v>
          </cell>
        </row>
        <row r="3502">
          <cell r="B3502">
            <v>37063</v>
          </cell>
          <cell r="C3502">
            <v>2305.35</v>
          </cell>
        </row>
        <row r="3503">
          <cell r="B3503">
            <v>37064</v>
          </cell>
          <cell r="C3503">
            <v>2300.46</v>
          </cell>
        </row>
        <row r="3504">
          <cell r="B3504">
            <v>37065</v>
          </cell>
          <cell r="C3504">
            <v>2298.88</v>
          </cell>
        </row>
        <row r="3505">
          <cell r="B3505">
            <v>37066</v>
          </cell>
          <cell r="C3505">
            <v>2298.88</v>
          </cell>
        </row>
        <row r="3506">
          <cell r="B3506">
            <v>37067</v>
          </cell>
          <cell r="C3506">
            <v>2298.88</v>
          </cell>
        </row>
        <row r="3507">
          <cell r="B3507">
            <v>37068</v>
          </cell>
          <cell r="C3507">
            <v>2298.88</v>
          </cell>
        </row>
        <row r="3508">
          <cell r="B3508">
            <v>37069</v>
          </cell>
          <cell r="C3508">
            <v>2304.6799999999998</v>
          </cell>
        </row>
        <row r="3509">
          <cell r="B3509">
            <v>37070</v>
          </cell>
          <cell r="C3509">
            <v>2307.0300000000002</v>
          </cell>
        </row>
        <row r="3510">
          <cell r="B3510">
            <v>37071</v>
          </cell>
          <cell r="C3510">
            <v>2305.33</v>
          </cell>
        </row>
        <row r="3511">
          <cell r="B3511">
            <v>37072</v>
          </cell>
          <cell r="C3511">
            <v>2298.85</v>
          </cell>
        </row>
        <row r="3512">
          <cell r="B3512">
            <v>37073</v>
          </cell>
          <cell r="C3512">
            <v>2298.85</v>
          </cell>
        </row>
        <row r="3513">
          <cell r="B3513">
            <v>37074</v>
          </cell>
          <cell r="C3513">
            <v>2298.85</v>
          </cell>
        </row>
        <row r="3514">
          <cell r="B3514">
            <v>37075</v>
          </cell>
          <cell r="C3514">
            <v>2298.85</v>
          </cell>
        </row>
        <row r="3515">
          <cell r="B3515">
            <v>37076</v>
          </cell>
          <cell r="C3515">
            <v>2300.02</v>
          </cell>
        </row>
        <row r="3516">
          <cell r="B3516">
            <v>37077</v>
          </cell>
          <cell r="C3516">
            <v>2303.2600000000002</v>
          </cell>
        </row>
        <row r="3517">
          <cell r="B3517">
            <v>37078</v>
          </cell>
          <cell r="C3517">
            <v>2303.36</v>
          </cell>
        </row>
        <row r="3518">
          <cell r="B3518">
            <v>37079</v>
          </cell>
          <cell r="C3518">
            <v>2304.75</v>
          </cell>
        </row>
        <row r="3519">
          <cell r="B3519">
            <v>37080</v>
          </cell>
          <cell r="C3519">
            <v>2304.75</v>
          </cell>
        </row>
        <row r="3520">
          <cell r="B3520">
            <v>37081</v>
          </cell>
          <cell r="C3520">
            <v>2304.75</v>
          </cell>
        </row>
        <row r="3521">
          <cell r="B3521">
            <v>37082</v>
          </cell>
          <cell r="C3521">
            <v>2305.37</v>
          </cell>
        </row>
        <row r="3522">
          <cell r="B3522">
            <v>37083</v>
          </cell>
          <cell r="C3522">
            <v>2306.16</v>
          </cell>
        </row>
        <row r="3523">
          <cell r="B3523">
            <v>37084</v>
          </cell>
          <cell r="C3523">
            <v>2312.21</v>
          </cell>
        </row>
        <row r="3524">
          <cell r="B3524">
            <v>37085</v>
          </cell>
          <cell r="C3524">
            <v>2323.9899999999998</v>
          </cell>
        </row>
        <row r="3525">
          <cell r="B3525">
            <v>37086</v>
          </cell>
          <cell r="C3525">
            <v>2317.92</v>
          </cell>
        </row>
        <row r="3526">
          <cell r="B3526">
            <v>37087</v>
          </cell>
          <cell r="C3526">
            <v>2317.92</v>
          </cell>
        </row>
        <row r="3527">
          <cell r="B3527">
            <v>37088</v>
          </cell>
          <cell r="C3527">
            <v>2317.92</v>
          </cell>
        </row>
        <row r="3528">
          <cell r="B3528">
            <v>37089</v>
          </cell>
          <cell r="C3528">
            <v>2302.56</v>
          </cell>
        </row>
        <row r="3529">
          <cell r="B3529">
            <v>37090</v>
          </cell>
          <cell r="C3529">
            <v>2298.7600000000002</v>
          </cell>
        </row>
        <row r="3530">
          <cell r="B3530">
            <v>37091</v>
          </cell>
          <cell r="C3530">
            <v>2298.63</v>
          </cell>
        </row>
        <row r="3531">
          <cell r="B3531">
            <v>37092</v>
          </cell>
          <cell r="C3531">
            <v>2301.67</v>
          </cell>
        </row>
        <row r="3532">
          <cell r="B3532">
            <v>37093</v>
          </cell>
          <cell r="C3532">
            <v>2301.67</v>
          </cell>
        </row>
        <row r="3533">
          <cell r="B3533">
            <v>37094</v>
          </cell>
          <cell r="C3533">
            <v>2301.67</v>
          </cell>
        </row>
        <row r="3534">
          <cell r="B3534">
            <v>37095</v>
          </cell>
          <cell r="C3534">
            <v>2301.67</v>
          </cell>
        </row>
        <row r="3535">
          <cell r="B3535">
            <v>37096</v>
          </cell>
          <cell r="C3535">
            <v>2302.2600000000002</v>
          </cell>
        </row>
        <row r="3536">
          <cell r="B3536">
            <v>37097</v>
          </cell>
          <cell r="C3536">
            <v>2301.56</v>
          </cell>
        </row>
        <row r="3537">
          <cell r="B3537">
            <v>37098</v>
          </cell>
          <cell r="C3537">
            <v>2302.6999999999998</v>
          </cell>
        </row>
        <row r="3538">
          <cell r="B3538">
            <v>37099</v>
          </cell>
          <cell r="C3538">
            <v>2301.5300000000002</v>
          </cell>
        </row>
        <row r="3539">
          <cell r="B3539">
            <v>37100</v>
          </cell>
          <cell r="C3539">
            <v>2301.6999999999998</v>
          </cell>
        </row>
        <row r="3540">
          <cell r="B3540">
            <v>37101</v>
          </cell>
          <cell r="C3540">
            <v>2301.6999999999998</v>
          </cell>
        </row>
        <row r="3541">
          <cell r="B3541">
            <v>37102</v>
          </cell>
          <cell r="C3541">
            <v>2301.6999999999998</v>
          </cell>
        </row>
        <row r="3542">
          <cell r="B3542">
            <v>37103</v>
          </cell>
          <cell r="C3542">
            <v>2298.27</v>
          </cell>
        </row>
        <row r="3543">
          <cell r="B3543">
            <v>37104</v>
          </cell>
          <cell r="C3543">
            <v>2293.25</v>
          </cell>
        </row>
        <row r="3544">
          <cell r="B3544">
            <v>37105</v>
          </cell>
          <cell r="C3544">
            <v>2295.19</v>
          </cell>
        </row>
        <row r="3545">
          <cell r="B3545">
            <v>37106</v>
          </cell>
          <cell r="C3545">
            <v>2298.91</v>
          </cell>
        </row>
        <row r="3546">
          <cell r="B3546">
            <v>37107</v>
          </cell>
          <cell r="C3546">
            <v>2295.7199999999998</v>
          </cell>
        </row>
        <row r="3547">
          <cell r="B3547">
            <v>37108</v>
          </cell>
          <cell r="C3547">
            <v>2295.7199999999998</v>
          </cell>
        </row>
        <row r="3548">
          <cell r="B3548">
            <v>37109</v>
          </cell>
          <cell r="C3548">
            <v>2295.7199999999998</v>
          </cell>
        </row>
        <row r="3549">
          <cell r="B3549">
            <v>37110</v>
          </cell>
          <cell r="C3549">
            <v>2291.46</v>
          </cell>
        </row>
        <row r="3550">
          <cell r="B3550">
            <v>37111</v>
          </cell>
          <cell r="C3550">
            <v>2291.46</v>
          </cell>
        </row>
        <row r="3551">
          <cell r="B3551">
            <v>37112</v>
          </cell>
          <cell r="C3551">
            <v>2295.0500000000002</v>
          </cell>
        </row>
        <row r="3552">
          <cell r="B3552">
            <v>37113</v>
          </cell>
          <cell r="C3552">
            <v>2291.5</v>
          </cell>
        </row>
        <row r="3553">
          <cell r="B3553">
            <v>37114</v>
          </cell>
          <cell r="C3553">
            <v>2288.0300000000002</v>
          </cell>
        </row>
        <row r="3554">
          <cell r="B3554">
            <v>37115</v>
          </cell>
          <cell r="C3554">
            <v>2288.0300000000002</v>
          </cell>
        </row>
        <row r="3555">
          <cell r="B3555">
            <v>37116</v>
          </cell>
          <cell r="C3555">
            <v>2288.0300000000002</v>
          </cell>
        </row>
        <row r="3556">
          <cell r="B3556">
            <v>37117</v>
          </cell>
          <cell r="C3556">
            <v>2284.9</v>
          </cell>
        </row>
        <row r="3557">
          <cell r="B3557">
            <v>37118</v>
          </cell>
          <cell r="C3557">
            <v>2284.98</v>
          </cell>
        </row>
        <row r="3558">
          <cell r="B3558">
            <v>37119</v>
          </cell>
          <cell r="C3558">
            <v>2291.41</v>
          </cell>
        </row>
        <row r="3559">
          <cell r="B3559">
            <v>37120</v>
          </cell>
          <cell r="C3559">
            <v>2288.1799999999998</v>
          </cell>
        </row>
        <row r="3560">
          <cell r="B3560">
            <v>37121</v>
          </cell>
          <cell r="C3560">
            <v>2285.06</v>
          </cell>
        </row>
        <row r="3561">
          <cell r="B3561">
            <v>37122</v>
          </cell>
          <cell r="C3561">
            <v>2285.06</v>
          </cell>
        </row>
        <row r="3562">
          <cell r="B3562">
            <v>37123</v>
          </cell>
          <cell r="C3562">
            <v>2285.06</v>
          </cell>
        </row>
        <row r="3563">
          <cell r="B3563">
            <v>37124</v>
          </cell>
          <cell r="C3563">
            <v>2285.06</v>
          </cell>
        </row>
        <row r="3564">
          <cell r="B3564">
            <v>37125</v>
          </cell>
          <cell r="C3564">
            <v>2283.86</v>
          </cell>
        </row>
        <row r="3565">
          <cell r="B3565">
            <v>37126</v>
          </cell>
          <cell r="C3565">
            <v>2279.25</v>
          </cell>
        </row>
        <row r="3566">
          <cell r="B3566">
            <v>37127</v>
          </cell>
          <cell r="C3566">
            <v>2275.0700000000002</v>
          </cell>
        </row>
        <row r="3567">
          <cell r="B3567">
            <v>37128</v>
          </cell>
          <cell r="C3567">
            <v>2273.5</v>
          </cell>
        </row>
        <row r="3568">
          <cell r="B3568">
            <v>37129</v>
          </cell>
          <cell r="C3568">
            <v>2273.5</v>
          </cell>
        </row>
        <row r="3569">
          <cell r="B3569">
            <v>37130</v>
          </cell>
          <cell r="C3569">
            <v>2273.5</v>
          </cell>
        </row>
        <row r="3570">
          <cell r="B3570">
            <v>37131</v>
          </cell>
          <cell r="C3570">
            <v>2282.56</v>
          </cell>
        </row>
        <row r="3571">
          <cell r="B3571">
            <v>37132</v>
          </cell>
          <cell r="C3571">
            <v>2290.5700000000002</v>
          </cell>
        </row>
        <row r="3572">
          <cell r="B3572">
            <v>37133</v>
          </cell>
          <cell r="C3572">
            <v>2297.2399999999998</v>
          </cell>
        </row>
        <row r="3573">
          <cell r="B3573">
            <v>37134</v>
          </cell>
          <cell r="C3573">
            <v>2301.23</v>
          </cell>
        </row>
        <row r="3574">
          <cell r="B3574">
            <v>37135</v>
          </cell>
          <cell r="C3574">
            <v>2296.85</v>
          </cell>
        </row>
        <row r="3575">
          <cell r="B3575">
            <v>37136</v>
          </cell>
          <cell r="C3575">
            <v>2296.85</v>
          </cell>
        </row>
        <row r="3576">
          <cell r="B3576">
            <v>37137</v>
          </cell>
          <cell r="C3576">
            <v>2296.85</v>
          </cell>
        </row>
        <row r="3577">
          <cell r="B3577">
            <v>37138</v>
          </cell>
          <cell r="C3577">
            <v>2305.15</v>
          </cell>
        </row>
        <row r="3578">
          <cell r="B3578">
            <v>37139</v>
          </cell>
          <cell r="C3578">
            <v>2305.2800000000002</v>
          </cell>
        </row>
        <row r="3579">
          <cell r="B3579">
            <v>37140</v>
          </cell>
          <cell r="C3579">
            <v>2312.87</v>
          </cell>
        </row>
        <row r="3580">
          <cell r="B3580">
            <v>37141</v>
          </cell>
          <cell r="C3580">
            <v>2317.02</v>
          </cell>
        </row>
        <row r="3581">
          <cell r="B3581">
            <v>37142</v>
          </cell>
          <cell r="C3581">
            <v>2320.09</v>
          </cell>
        </row>
        <row r="3582">
          <cell r="B3582">
            <v>37143</v>
          </cell>
          <cell r="C3582">
            <v>2320.09</v>
          </cell>
        </row>
        <row r="3583">
          <cell r="B3583">
            <v>37144</v>
          </cell>
          <cell r="C3583">
            <v>2320.09</v>
          </cell>
        </row>
        <row r="3584">
          <cell r="B3584">
            <v>37145</v>
          </cell>
          <cell r="C3584">
            <v>2324.7800000000002</v>
          </cell>
        </row>
        <row r="3585">
          <cell r="B3585">
            <v>37146</v>
          </cell>
          <cell r="C3585">
            <v>2341.2800000000002</v>
          </cell>
        </row>
        <row r="3586">
          <cell r="B3586">
            <v>37147</v>
          </cell>
          <cell r="C3586">
            <v>2341.14</v>
          </cell>
        </row>
        <row r="3587">
          <cell r="B3587">
            <v>37148</v>
          </cell>
          <cell r="C3587">
            <v>2337.25</v>
          </cell>
        </row>
        <row r="3588">
          <cell r="B3588">
            <v>37149</v>
          </cell>
          <cell r="C3588">
            <v>2342.44</v>
          </cell>
        </row>
        <row r="3589">
          <cell r="B3589">
            <v>37150</v>
          </cell>
          <cell r="C3589">
            <v>2342.44</v>
          </cell>
        </row>
        <row r="3590">
          <cell r="B3590">
            <v>37151</v>
          </cell>
          <cell r="C3590">
            <v>2342.44</v>
          </cell>
        </row>
        <row r="3591">
          <cell r="B3591">
            <v>37152</v>
          </cell>
          <cell r="C3591">
            <v>2342.1799999999998</v>
          </cell>
        </row>
        <row r="3592">
          <cell r="B3592">
            <v>37153</v>
          </cell>
          <cell r="C3592">
            <v>2338.39</v>
          </cell>
        </row>
        <row r="3593">
          <cell r="B3593">
            <v>37154</v>
          </cell>
          <cell r="C3593">
            <v>2342.04</v>
          </cell>
        </row>
        <row r="3594">
          <cell r="B3594">
            <v>37155</v>
          </cell>
          <cell r="C3594">
            <v>2341.6799999999998</v>
          </cell>
        </row>
        <row r="3595">
          <cell r="B3595">
            <v>37156</v>
          </cell>
          <cell r="C3595">
            <v>2342.1799999999998</v>
          </cell>
        </row>
        <row r="3596">
          <cell r="B3596">
            <v>37157</v>
          </cell>
          <cell r="C3596">
            <v>2342.1799999999998</v>
          </cell>
        </row>
        <row r="3597">
          <cell r="B3597">
            <v>37158</v>
          </cell>
          <cell r="C3597">
            <v>2342.1799999999998</v>
          </cell>
        </row>
        <row r="3598">
          <cell r="B3598">
            <v>37159</v>
          </cell>
          <cell r="C3598">
            <v>2329.6999999999998</v>
          </cell>
        </row>
        <row r="3599">
          <cell r="B3599">
            <v>37160</v>
          </cell>
          <cell r="C3599">
            <v>2327.09</v>
          </cell>
        </row>
        <row r="3600">
          <cell r="B3600">
            <v>37161</v>
          </cell>
          <cell r="C3600">
            <v>2328.4899999999998</v>
          </cell>
        </row>
        <row r="3601">
          <cell r="B3601">
            <v>37162</v>
          </cell>
          <cell r="C3601">
            <v>2328.75</v>
          </cell>
        </row>
        <row r="3602">
          <cell r="B3602">
            <v>37163</v>
          </cell>
          <cell r="C3602">
            <v>2332.19</v>
          </cell>
        </row>
        <row r="3603">
          <cell r="B3603">
            <v>37164</v>
          </cell>
          <cell r="C3603">
            <v>2332.19</v>
          </cell>
        </row>
        <row r="3604">
          <cell r="B3604">
            <v>37165</v>
          </cell>
          <cell r="C3604">
            <v>2332.19</v>
          </cell>
        </row>
        <row r="3605">
          <cell r="B3605">
            <v>37166</v>
          </cell>
          <cell r="C3605">
            <v>2338.4499999999998</v>
          </cell>
        </row>
        <row r="3606">
          <cell r="B3606">
            <v>37167</v>
          </cell>
          <cell r="C3606">
            <v>2334.2399999999998</v>
          </cell>
        </row>
        <row r="3607">
          <cell r="B3607">
            <v>37168</v>
          </cell>
          <cell r="C3607">
            <v>2336.1799999999998</v>
          </cell>
        </row>
        <row r="3608">
          <cell r="B3608">
            <v>37169</v>
          </cell>
          <cell r="C3608">
            <v>2336.2800000000002</v>
          </cell>
        </row>
        <row r="3609">
          <cell r="B3609">
            <v>37170</v>
          </cell>
          <cell r="C3609">
            <v>2331.0300000000002</v>
          </cell>
        </row>
        <row r="3610">
          <cell r="B3610">
            <v>37171</v>
          </cell>
          <cell r="C3610">
            <v>2331.0300000000002</v>
          </cell>
        </row>
        <row r="3611">
          <cell r="B3611">
            <v>37172</v>
          </cell>
          <cell r="C3611">
            <v>2331.0300000000002</v>
          </cell>
        </row>
        <row r="3612">
          <cell r="B3612">
            <v>37173</v>
          </cell>
          <cell r="C3612">
            <v>2331.02</v>
          </cell>
        </row>
        <row r="3613">
          <cell r="B3613">
            <v>37174</v>
          </cell>
          <cell r="C3613">
            <v>2328.91</v>
          </cell>
        </row>
        <row r="3614">
          <cell r="B3614">
            <v>37175</v>
          </cell>
          <cell r="C3614">
            <v>2320.41</v>
          </cell>
        </row>
        <row r="3615">
          <cell r="B3615">
            <v>37176</v>
          </cell>
          <cell r="C3615">
            <v>2312.33</v>
          </cell>
        </row>
        <row r="3616">
          <cell r="B3616">
            <v>37177</v>
          </cell>
          <cell r="C3616">
            <v>2314.7399999999998</v>
          </cell>
        </row>
        <row r="3617">
          <cell r="B3617">
            <v>37178</v>
          </cell>
          <cell r="C3617">
            <v>2314.7399999999998</v>
          </cell>
        </row>
        <row r="3618">
          <cell r="B3618">
            <v>37179</v>
          </cell>
          <cell r="C3618">
            <v>2314.7399999999998</v>
          </cell>
        </row>
        <row r="3619">
          <cell r="B3619">
            <v>37180</v>
          </cell>
          <cell r="C3619">
            <v>2314.7399999999998</v>
          </cell>
        </row>
        <row r="3620">
          <cell r="B3620">
            <v>37181</v>
          </cell>
          <cell r="C3620">
            <v>2303.3000000000002</v>
          </cell>
        </row>
        <row r="3621">
          <cell r="B3621">
            <v>37182</v>
          </cell>
          <cell r="C3621">
            <v>2300.0100000000002</v>
          </cell>
        </row>
        <row r="3622">
          <cell r="B3622">
            <v>37183</v>
          </cell>
          <cell r="C3622">
            <v>2313.2399999999998</v>
          </cell>
        </row>
        <row r="3623">
          <cell r="B3623">
            <v>37184</v>
          </cell>
          <cell r="C3623">
            <v>2315.2600000000002</v>
          </cell>
        </row>
        <row r="3624">
          <cell r="B3624">
            <v>37185</v>
          </cell>
          <cell r="C3624">
            <v>2315.2600000000002</v>
          </cell>
        </row>
        <row r="3625">
          <cell r="B3625">
            <v>37186</v>
          </cell>
          <cell r="C3625">
            <v>2315.2600000000002</v>
          </cell>
        </row>
        <row r="3626">
          <cell r="B3626">
            <v>37187</v>
          </cell>
          <cell r="C3626">
            <v>2318.4699999999998</v>
          </cell>
        </row>
        <row r="3627">
          <cell r="B3627">
            <v>37188</v>
          </cell>
          <cell r="C3627">
            <v>2316.14</v>
          </cell>
        </row>
        <row r="3628">
          <cell r="B3628">
            <v>37189</v>
          </cell>
          <cell r="C3628">
            <v>2319.5300000000002</v>
          </cell>
        </row>
        <row r="3629">
          <cell r="B3629">
            <v>37190</v>
          </cell>
          <cell r="C3629">
            <v>2316.6799999999998</v>
          </cell>
        </row>
        <row r="3630">
          <cell r="B3630">
            <v>37191</v>
          </cell>
          <cell r="C3630">
            <v>2314.5</v>
          </cell>
        </row>
        <row r="3631">
          <cell r="B3631">
            <v>37192</v>
          </cell>
          <cell r="C3631">
            <v>2314.5</v>
          </cell>
        </row>
        <row r="3632">
          <cell r="B3632">
            <v>37193</v>
          </cell>
          <cell r="C3632">
            <v>2314.5</v>
          </cell>
        </row>
        <row r="3633">
          <cell r="B3633">
            <v>37194</v>
          </cell>
          <cell r="C3633">
            <v>2311.42</v>
          </cell>
        </row>
        <row r="3634">
          <cell r="B3634">
            <v>37195</v>
          </cell>
          <cell r="C3634">
            <v>2310.02</v>
          </cell>
        </row>
        <row r="3635">
          <cell r="B3635">
            <v>37196</v>
          </cell>
          <cell r="C3635">
            <v>2309.12</v>
          </cell>
        </row>
        <row r="3636">
          <cell r="B3636">
            <v>37197</v>
          </cell>
          <cell r="C3636">
            <v>2309.89</v>
          </cell>
        </row>
        <row r="3637">
          <cell r="B3637">
            <v>37198</v>
          </cell>
          <cell r="C3637">
            <v>2309.42</v>
          </cell>
        </row>
        <row r="3638">
          <cell r="B3638">
            <v>37199</v>
          </cell>
          <cell r="C3638">
            <v>2309.42</v>
          </cell>
        </row>
        <row r="3639">
          <cell r="B3639">
            <v>37200</v>
          </cell>
          <cell r="C3639">
            <v>2309.42</v>
          </cell>
        </row>
        <row r="3640">
          <cell r="B3640">
            <v>37201</v>
          </cell>
          <cell r="C3640">
            <v>2309.42</v>
          </cell>
        </row>
        <row r="3641">
          <cell r="B3641">
            <v>37202</v>
          </cell>
          <cell r="C3641">
            <v>2309.2199999999998</v>
          </cell>
        </row>
        <row r="3642">
          <cell r="B3642">
            <v>37203</v>
          </cell>
          <cell r="C3642">
            <v>2306.5700000000002</v>
          </cell>
        </row>
        <row r="3643">
          <cell r="B3643">
            <v>37204</v>
          </cell>
          <cell r="C3643">
            <v>2307.2399999999998</v>
          </cell>
        </row>
        <row r="3644">
          <cell r="B3644">
            <v>37205</v>
          </cell>
          <cell r="C3644">
            <v>2303.6799999999998</v>
          </cell>
        </row>
        <row r="3645">
          <cell r="B3645">
            <v>37206</v>
          </cell>
          <cell r="C3645">
            <v>2303.6799999999998</v>
          </cell>
        </row>
        <row r="3646">
          <cell r="B3646">
            <v>37207</v>
          </cell>
          <cell r="C3646">
            <v>2303.6799999999998</v>
          </cell>
        </row>
        <row r="3647">
          <cell r="B3647">
            <v>37208</v>
          </cell>
          <cell r="C3647">
            <v>2303.6799999999998</v>
          </cell>
        </row>
        <row r="3648">
          <cell r="B3648">
            <v>37209</v>
          </cell>
          <cell r="C3648">
            <v>2300.69</v>
          </cell>
        </row>
        <row r="3649">
          <cell r="B3649">
            <v>37210</v>
          </cell>
          <cell r="C3649">
            <v>2302.81</v>
          </cell>
        </row>
        <row r="3650">
          <cell r="B3650">
            <v>37211</v>
          </cell>
          <cell r="C3650">
            <v>2311.5700000000002</v>
          </cell>
        </row>
        <row r="3651">
          <cell r="B3651">
            <v>37212</v>
          </cell>
          <cell r="C3651">
            <v>2314.33</v>
          </cell>
        </row>
        <row r="3652">
          <cell r="B3652">
            <v>37213</v>
          </cell>
          <cell r="C3652">
            <v>2314.33</v>
          </cell>
        </row>
        <row r="3653">
          <cell r="B3653">
            <v>37214</v>
          </cell>
          <cell r="C3653">
            <v>2314.33</v>
          </cell>
        </row>
        <row r="3654">
          <cell r="B3654">
            <v>37215</v>
          </cell>
          <cell r="C3654">
            <v>2310.9</v>
          </cell>
        </row>
        <row r="3655">
          <cell r="B3655">
            <v>37216</v>
          </cell>
          <cell r="C3655">
            <v>2314.86</v>
          </cell>
        </row>
        <row r="3656">
          <cell r="B3656">
            <v>37217</v>
          </cell>
          <cell r="C3656">
            <v>2319.34</v>
          </cell>
        </row>
        <row r="3657">
          <cell r="B3657">
            <v>37218</v>
          </cell>
          <cell r="C3657">
            <v>2317.5700000000002</v>
          </cell>
        </row>
        <row r="3658">
          <cell r="B3658">
            <v>37219</v>
          </cell>
          <cell r="C3658">
            <v>2316.4</v>
          </cell>
        </row>
        <row r="3659">
          <cell r="B3659">
            <v>37220</v>
          </cell>
          <cell r="C3659">
            <v>2316.4</v>
          </cell>
        </row>
        <row r="3660">
          <cell r="B3660">
            <v>37221</v>
          </cell>
          <cell r="C3660">
            <v>2316.4</v>
          </cell>
        </row>
        <row r="3661">
          <cell r="B3661">
            <v>37222</v>
          </cell>
          <cell r="C3661">
            <v>2313.2600000000002</v>
          </cell>
        </row>
        <row r="3662">
          <cell r="B3662">
            <v>37223</v>
          </cell>
          <cell r="C3662">
            <v>2312.9</v>
          </cell>
        </row>
        <row r="3663">
          <cell r="B3663">
            <v>37224</v>
          </cell>
          <cell r="C3663">
            <v>2310.9699999999998</v>
          </cell>
        </row>
        <row r="3664">
          <cell r="B3664">
            <v>37225</v>
          </cell>
          <cell r="C3664">
            <v>2308.59</v>
          </cell>
        </row>
        <row r="3665">
          <cell r="B3665">
            <v>37226</v>
          </cell>
          <cell r="C3665">
            <v>2303.35</v>
          </cell>
        </row>
        <row r="3666">
          <cell r="B3666">
            <v>37227</v>
          </cell>
          <cell r="C3666">
            <v>2303.35</v>
          </cell>
        </row>
        <row r="3667">
          <cell r="B3667">
            <v>37228</v>
          </cell>
          <cell r="C3667">
            <v>2303.35</v>
          </cell>
        </row>
        <row r="3668">
          <cell r="B3668">
            <v>37229</v>
          </cell>
          <cell r="C3668">
            <v>2304.13</v>
          </cell>
        </row>
        <row r="3669">
          <cell r="B3669">
            <v>37230</v>
          </cell>
          <cell r="C3669">
            <v>2314.7600000000002</v>
          </cell>
        </row>
        <row r="3670">
          <cell r="B3670">
            <v>37231</v>
          </cell>
          <cell r="C3670">
            <v>2315.36</v>
          </cell>
        </row>
        <row r="3671">
          <cell r="B3671">
            <v>37232</v>
          </cell>
          <cell r="C3671">
            <v>2314.89</v>
          </cell>
        </row>
        <row r="3672">
          <cell r="B3672">
            <v>37233</v>
          </cell>
          <cell r="C3672">
            <v>2310.9</v>
          </cell>
        </row>
        <row r="3673">
          <cell r="B3673">
            <v>37234</v>
          </cell>
          <cell r="C3673">
            <v>2310.9</v>
          </cell>
        </row>
        <row r="3674">
          <cell r="B3674">
            <v>37235</v>
          </cell>
          <cell r="C3674">
            <v>2310.9</v>
          </cell>
        </row>
        <row r="3675">
          <cell r="B3675">
            <v>37236</v>
          </cell>
          <cell r="C3675">
            <v>2308.41</v>
          </cell>
        </row>
        <row r="3676">
          <cell r="B3676">
            <v>37237</v>
          </cell>
          <cell r="C3676">
            <v>2306.56</v>
          </cell>
        </row>
        <row r="3677">
          <cell r="B3677">
            <v>37238</v>
          </cell>
          <cell r="C3677">
            <v>2307.12</v>
          </cell>
        </row>
        <row r="3678">
          <cell r="B3678">
            <v>37239</v>
          </cell>
          <cell r="C3678">
            <v>2312</v>
          </cell>
        </row>
        <row r="3679">
          <cell r="B3679">
            <v>37240</v>
          </cell>
          <cell r="C3679">
            <v>2318.67</v>
          </cell>
        </row>
        <row r="3680">
          <cell r="B3680">
            <v>37241</v>
          </cell>
          <cell r="C3680">
            <v>2318.67</v>
          </cell>
        </row>
        <row r="3681">
          <cell r="B3681">
            <v>37242</v>
          </cell>
          <cell r="C3681">
            <v>2318.67</v>
          </cell>
        </row>
        <row r="3682">
          <cell r="B3682">
            <v>37243</v>
          </cell>
          <cell r="C3682">
            <v>2310.58</v>
          </cell>
        </row>
        <row r="3683">
          <cell r="B3683">
            <v>37244</v>
          </cell>
          <cell r="C3683">
            <v>2306.8200000000002</v>
          </cell>
        </row>
        <row r="3684">
          <cell r="B3684">
            <v>37245</v>
          </cell>
          <cell r="C3684">
            <v>2307.1</v>
          </cell>
        </row>
        <row r="3685">
          <cell r="B3685">
            <v>37246</v>
          </cell>
          <cell r="C3685">
            <v>2306.88</v>
          </cell>
        </row>
        <row r="3686">
          <cell r="B3686">
            <v>37247</v>
          </cell>
          <cell r="C3686">
            <v>2303.15</v>
          </cell>
        </row>
        <row r="3687">
          <cell r="B3687">
            <v>37248</v>
          </cell>
          <cell r="C3687">
            <v>2303.15</v>
          </cell>
        </row>
        <row r="3688">
          <cell r="B3688">
            <v>37249</v>
          </cell>
          <cell r="C3688">
            <v>2303.15</v>
          </cell>
        </row>
        <row r="3689">
          <cell r="B3689">
            <v>37250</v>
          </cell>
          <cell r="C3689">
            <v>2297.59</v>
          </cell>
        </row>
        <row r="3690">
          <cell r="B3690">
            <v>37251</v>
          </cell>
          <cell r="C3690">
            <v>2297.59</v>
          </cell>
        </row>
        <row r="3691">
          <cell r="B3691">
            <v>37252</v>
          </cell>
          <cell r="C3691">
            <v>2297.17</v>
          </cell>
        </row>
        <row r="3692">
          <cell r="B3692">
            <v>37253</v>
          </cell>
          <cell r="C3692">
            <v>2301.33</v>
          </cell>
        </row>
        <row r="3693">
          <cell r="B3693">
            <v>37254</v>
          </cell>
          <cell r="C3693">
            <v>2291.1799999999998</v>
          </cell>
        </row>
        <row r="3694">
          <cell r="B3694">
            <v>37255</v>
          </cell>
          <cell r="C3694">
            <v>2291.1799999999998</v>
          </cell>
        </row>
        <row r="3695">
          <cell r="B3695">
            <v>37256</v>
          </cell>
          <cell r="C3695">
            <v>2291.1799999999998</v>
          </cell>
        </row>
        <row r="3696">
          <cell r="B3696">
            <v>37257</v>
          </cell>
          <cell r="C3696">
            <v>2291.1799999999998</v>
          </cell>
        </row>
        <row r="3697">
          <cell r="B3697">
            <v>37258</v>
          </cell>
          <cell r="C3697">
            <v>2291.1799999999998</v>
          </cell>
        </row>
        <row r="3698">
          <cell r="B3698">
            <v>37259</v>
          </cell>
          <cell r="C3698">
            <v>2289.42</v>
          </cell>
        </row>
        <row r="3699">
          <cell r="B3699">
            <v>37260</v>
          </cell>
          <cell r="C3699">
            <v>2289.91</v>
          </cell>
        </row>
        <row r="3700">
          <cell r="B3700">
            <v>37261</v>
          </cell>
          <cell r="C3700">
            <v>2295.59</v>
          </cell>
        </row>
        <row r="3701">
          <cell r="B3701">
            <v>37262</v>
          </cell>
          <cell r="C3701">
            <v>2295.59</v>
          </cell>
        </row>
        <row r="3702">
          <cell r="B3702">
            <v>37263</v>
          </cell>
          <cell r="C3702">
            <v>2295.59</v>
          </cell>
        </row>
        <row r="3703">
          <cell r="B3703">
            <v>37264</v>
          </cell>
          <cell r="C3703">
            <v>2295.59</v>
          </cell>
        </row>
        <row r="3704">
          <cell r="B3704">
            <v>37265</v>
          </cell>
          <cell r="C3704">
            <v>2306.31</v>
          </cell>
        </row>
        <row r="3705">
          <cell r="B3705">
            <v>37266</v>
          </cell>
          <cell r="C3705">
            <v>2306.35</v>
          </cell>
        </row>
        <row r="3706">
          <cell r="B3706">
            <v>37267</v>
          </cell>
          <cell r="C3706">
            <v>2311.5700000000002</v>
          </cell>
        </row>
        <row r="3707">
          <cell r="B3707">
            <v>37268</v>
          </cell>
          <cell r="C3707">
            <v>2304.54</v>
          </cell>
        </row>
        <row r="3708">
          <cell r="B3708">
            <v>37269</v>
          </cell>
          <cell r="C3708">
            <v>2304.54</v>
          </cell>
        </row>
        <row r="3709">
          <cell r="B3709">
            <v>37270</v>
          </cell>
          <cell r="C3709">
            <v>2304.54</v>
          </cell>
        </row>
        <row r="3710">
          <cell r="B3710">
            <v>37271</v>
          </cell>
          <cell r="C3710">
            <v>2297.31</v>
          </cell>
        </row>
        <row r="3711">
          <cell r="B3711">
            <v>37272</v>
          </cell>
          <cell r="C3711">
            <v>2280.73</v>
          </cell>
        </row>
        <row r="3712">
          <cell r="B3712">
            <v>37273</v>
          </cell>
          <cell r="C3712">
            <v>2265.66</v>
          </cell>
        </row>
        <row r="3713">
          <cell r="B3713">
            <v>37274</v>
          </cell>
          <cell r="C3713">
            <v>2265.0100000000002</v>
          </cell>
        </row>
        <row r="3714">
          <cell r="B3714">
            <v>37275</v>
          </cell>
          <cell r="C3714">
            <v>2269.7600000000002</v>
          </cell>
        </row>
        <row r="3715">
          <cell r="B3715">
            <v>37276</v>
          </cell>
          <cell r="C3715">
            <v>2269.7600000000002</v>
          </cell>
        </row>
        <row r="3716">
          <cell r="B3716">
            <v>37277</v>
          </cell>
          <cell r="C3716">
            <v>2269.7600000000002</v>
          </cell>
        </row>
        <row r="3717">
          <cell r="B3717">
            <v>37278</v>
          </cell>
          <cell r="C3717">
            <v>2259.2399999999998</v>
          </cell>
        </row>
        <row r="3718">
          <cell r="B3718">
            <v>37279</v>
          </cell>
          <cell r="C3718">
            <v>2247.29</v>
          </cell>
        </row>
        <row r="3719">
          <cell r="B3719">
            <v>37280</v>
          </cell>
          <cell r="C3719">
            <v>2239.92</v>
          </cell>
        </row>
        <row r="3720">
          <cell r="B3720">
            <v>37281</v>
          </cell>
          <cell r="C3720">
            <v>2231.98</v>
          </cell>
        </row>
        <row r="3721">
          <cell r="B3721">
            <v>37282</v>
          </cell>
          <cell r="C3721">
            <v>2242.67</v>
          </cell>
        </row>
        <row r="3722">
          <cell r="B3722">
            <v>37283</v>
          </cell>
          <cell r="C3722">
            <v>2242.67</v>
          </cell>
        </row>
        <row r="3723">
          <cell r="B3723">
            <v>37284</v>
          </cell>
          <cell r="C3723">
            <v>2242.67</v>
          </cell>
        </row>
        <row r="3724">
          <cell r="B3724">
            <v>37285</v>
          </cell>
          <cell r="C3724">
            <v>2252.37</v>
          </cell>
        </row>
        <row r="3725">
          <cell r="B3725">
            <v>37286</v>
          </cell>
          <cell r="C3725">
            <v>2262.4499999999998</v>
          </cell>
        </row>
        <row r="3726">
          <cell r="B3726">
            <v>37287</v>
          </cell>
          <cell r="C3726">
            <v>2264.8200000000002</v>
          </cell>
        </row>
        <row r="3727">
          <cell r="B3727">
            <v>37288</v>
          </cell>
          <cell r="C3727">
            <v>2265.9899999999998</v>
          </cell>
        </row>
        <row r="3728">
          <cell r="B3728">
            <v>37289</v>
          </cell>
          <cell r="C3728">
            <v>2267.33</v>
          </cell>
        </row>
        <row r="3729">
          <cell r="B3729">
            <v>37290</v>
          </cell>
          <cell r="C3729">
            <v>2267.33</v>
          </cell>
        </row>
        <row r="3730">
          <cell r="B3730">
            <v>37291</v>
          </cell>
          <cell r="C3730">
            <v>2267.33</v>
          </cell>
        </row>
        <row r="3731">
          <cell r="B3731">
            <v>37292</v>
          </cell>
          <cell r="C3731">
            <v>2266.61</v>
          </cell>
        </row>
        <row r="3732">
          <cell r="B3732">
            <v>37293</v>
          </cell>
          <cell r="C3732">
            <v>2259.81</v>
          </cell>
        </row>
        <row r="3733">
          <cell r="B3733">
            <v>37294</v>
          </cell>
          <cell r="C3733">
            <v>2254.98</v>
          </cell>
        </row>
        <row r="3734">
          <cell r="B3734">
            <v>37295</v>
          </cell>
          <cell r="C3734">
            <v>2260.17</v>
          </cell>
        </row>
        <row r="3735">
          <cell r="B3735">
            <v>37296</v>
          </cell>
          <cell r="C3735">
            <v>2272.7600000000002</v>
          </cell>
        </row>
        <row r="3736">
          <cell r="B3736">
            <v>37297</v>
          </cell>
          <cell r="C3736">
            <v>2272.7600000000002</v>
          </cell>
        </row>
        <row r="3737">
          <cell r="B3737">
            <v>37298</v>
          </cell>
          <cell r="C3737">
            <v>2272.7600000000002</v>
          </cell>
        </row>
        <row r="3738">
          <cell r="B3738">
            <v>37299</v>
          </cell>
          <cell r="C3738">
            <v>2283.14</v>
          </cell>
        </row>
        <row r="3739">
          <cell r="B3739">
            <v>37300</v>
          </cell>
          <cell r="C3739">
            <v>2290.19</v>
          </cell>
        </row>
        <row r="3740">
          <cell r="B3740">
            <v>37301</v>
          </cell>
          <cell r="C3740">
            <v>2309.27</v>
          </cell>
        </row>
        <row r="3741">
          <cell r="B3741">
            <v>37302</v>
          </cell>
          <cell r="C3741">
            <v>2312.0300000000002</v>
          </cell>
        </row>
        <row r="3742">
          <cell r="B3742">
            <v>37303</v>
          </cell>
          <cell r="C3742">
            <v>2288.54</v>
          </cell>
        </row>
        <row r="3743">
          <cell r="B3743">
            <v>37304</v>
          </cell>
          <cell r="C3743">
            <v>2288.54</v>
          </cell>
        </row>
        <row r="3744">
          <cell r="B3744">
            <v>37305</v>
          </cell>
          <cell r="C3744">
            <v>2288.54</v>
          </cell>
        </row>
        <row r="3745">
          <cell r="B3745">
            <v>37306</v>
          </cell>
          <cell r="C3745">
            <v>2288.98</v>
          </cell>
        </row>
        <row r="3746">
          <cell r="B3746">
            <v>37307</v>
          </cell>
          <cell r="C3746">
            <v>2280.98</v>
          </cell>
        </row>
        <row r="3747">
          <cell r="B3747">
            <v>37308</v>
          </cell>
          <cell r="C3747">
            <v>2282.94</v>
          </cell>
        </row>
        <row r="3748">
          <cell r="B3748">
            <v>37309</v>
          </cell>
          <cell r="C3748">
            <v>2309.4499999999998</v>
          </cell>
        </row>
        <row r="3749">
          <cell r="B3749">
            <v>37310</v>
          </cell>
          <cell r="C3749">
            <v>2307.75</v>
          </cell>
        </row>
        <row r="3750">
          <cell r="B3750">
            <v>37311</v>
          </cell>
          <cell r="C3750">
            <v>2307.75</v>
          </cell>
        </row>
        <row r="3751">
          <cell r="B3751">
            <v>37312</v>
          </cell>
          <cell r="C3751">
            <v>2307.75</v>
          </cell>
        </row>
        <row r="3752">
          <cell r="B3752">
            <v>37313</v>
          </cell>
          <cell r="C3752">
            <v>2310.21</v>
          </cell>
        </row>
        <row r="3753">
          <cell r="B3753">
            <v>37314</v>
          </cell>
          <cell r="C3753">
            <v>2313.13</v>
          </cell>
        </row>
        <row r="3754">
          <cell r="B3754">
            <v>37315</v>
          </cell>
          <cell r="C3754">
            <v>2309.8200000000002</v>
          </cell>
        </row>
        <row r="3755">
          <cell r="B3755">
            <v>37316</v>
          </cell>
          <cell r="C3755">
            <v>2306.4499999999998</v>
          </cell>
        </row>
        <row r="3756">
          <cell r="B3756">
            <v>37317</v>
          </cell>
          <cell r="C3756">
            <v>2306.33</v>
          </cell>
        </row>
        <row r="3757">
          <cell r="B3757">
            <v>37318</v>
          </cell>
          <cell r="C3757">
            <v>2306.33</v>
          </cell>
        </row>
        <row r="3758">
          <cell r="B3758">
            <v>37319</v>
          </cell>
          <cell r="C3758">
            <v>2306.33</v>
          </cell>
        </row>
        <row r="3759">
          <cell r="B3759">
            <v>37320</v>
          </cell>
          <cell r="C3759">
            <v>2299.15</v>
          </cell>
        </row>
        <row r="3760">
          <cell r="B3760">
            <v>37321</v>
          </cell>
          <cell r="C3760">
            <v>2293.6</v>
          </cell>
        </row>
        <row r="3761">
          <cell r="B3761">
            <v>37322</v>
          </cell>
          <cell r="C3761">
            <v>2290</v>
          </cell>
        </row>
        <row r="3762">
          <cell r="B3762">
            <v>37323</v>
          </cell>
          <cell r="C3762">
            <v>2289.83</v>
          </cell>
        </row>
        <row r="3763">
          <cell r="B3763">
            <v>37324</v>
          </cell>
          <cell r="C3763">
            <v>2283.83</v>
          </cell>
        </row>
        <row r="3764">
          <cell r="B3764">
            <v>37325</v>
          </cell>
          <cell r="C3764">
            <v>2283.83</v>
          </cell>
        </row>
        <row r="3765">
          <cell r="B3765">
            <v>37326</v>
          </cell>
          <cell r="C3765">
            <v>2283.83</v>
          </cell>
        </row>
        <row r="3766">
          <cell r="B3766">
            <v>37327</v>
          </cell>
          <cell r="C3766">
            <v>2269.88</v>
          </cell>
        </row>
        <row r="3767">
          <cell r="B3767">
            <v>37328</v>
          </cell>
          <cell r="C3767">
            <v>2269.17</v>
          </cell>
        </row>
        <row r="3768">
          <cell r="B3768">
            <v>37329</v>
          </cell>
          <cell r="C3768">
            <v>2270.66</v>
          </cell>
        </row>
        <row r="3769">
          <cell r="B3769">
            <v>37330</v>
          </cell>
          <cell r="C3769">
            <v>2272.27</v>
          </cell>
        </row>
        <row r="3770">
          <cell r="B3770">
            <v>37331</v>
          </cell>
          <cell r="C3770">
            <v>2278.56</v>
          </cell>
        </row>
        <row r="3771">
          <cell r="B3771">
            <v>37332</v>
          </cell>
          <cell r="C3771">
            <v>2278.56</v>
          </cell>
        </row>
        <row r="3772">
          <cell r="B3772">
            <v>37333</v>
          </cell>
          <cell r="C3772">
            <v>2278.56</v>
          </cell>
        </row>
        <row r="3773">
          <cell r="B3773">
            <v>37334</v>
          </cell>
          <cell r="C3773">
            <v>2282.25</v>
          </cell>
        </row>
        <row r="3774">
          <cell r="B3774">
            <v>37335</v>
          </cell>
          <cell r="C3774">
            <v>2274.5300000000002</v>
          </cell>
        </row>
        <row r="3775">
          <cell r="B3775">
            <v>37336</v>
          </cell>
          <cell r="C3775">
            <v>2279.6</v>
          </cell>
        </row>
        <row r="3776">
          <cell r="B3776">
            <v>37337</v>
          </cell>
          <cell r="C3776">
            <v>2280</v>
          </cell>
        </row>
        <row r="3777">
          <cell r="B3777">
            <v>37338</v>
          </cell>
          <cell r="C3777">
            <v>2274.4699999999998</v>
          </cell>
        </row>
        <row r="3778">
          <cell r="B3778">
            <v>37339</v>
          </cell>
          <cell r="C3778">
            <v>2274.4699999999998</v>
          </cell>
        </row>
        <row r="3779">
          <cell r="B3779">
            <v>37340</v>
          </cell>
          <cell r="C3779">
            <v>2274.4699999999998</v>
          </cell>
        </row>
        <row r="3780">
          <cell r="B3780">
            <v>37341</v>
          </cell>
          <cell r="C3780">
            <v>2274.4699999999998</v>
          </cell>
        </row>
        <row r="3781">
          <cell r="B3781">
            <v>37342</v>
          </cell>
          <cell r="C3781">
            <v>2261.37</v>
          </cell>
        </row>
        <row r="3782">
          <cell r="B3782">
            <v>37343</v>
          </cell>
          <cell r="C3782">
            <v>2261.23</v>
          </cell>
        </row>
        <row r="3783">
          <cell r="B3783">
            <v>37344</v>
          </cell>
          <cell r="C3783">
            <v>2261.23</v>
          </cell>
        </row>
        <row r="3784">
          <cell r="B3784">
            <v>37345</v>
          </cell>
          <cell r="C3784">
            <v>2261.23</v>
          </cell>
        </row>
        <row r="3785">
          <cell r="B3785">
            <v>37346</v>
          </cell>
          <cell r="C3785">
            <v>2261.23</v>
          </cell>
        </row>
        <row r="3786">
          <cell r="B3786">
            <v>37347</v>
          </cell>
          <cell r="C3786">
            <v>2261.23</v>
          </cell>
        </row>
        <row r="3787">
          <cell r="B3787">
            <v>37348</v>
          </cell>
          <cell r="C3787">
            <v>2264.5700000000002</v>
          </cell>
        </row>
        <row r="3788">
          <cell r="B3788">
            <v>37349</v>
          </cell>
          <cell r="C3788">
            <v>2257.16</v>
          </cell>
        </row>
        <row r="3789">
          <cell r="B3789">
            <v>37350</v>
          </cell>
          <cell r="C3789">
            <v>2267.9899999999998</v>
          </cell>
        </row>
        <row r="3790">
          <cell r="B3790">
            <v>37351</v>
          </cell>
          <cell r="C3790">
            <v>2269.35</v>
          </cell>
        </row>
        <row r="3791">
          <cell r="B3791">
            <v>37352</v>
          </cell>
          <cell r="C3791">
            <v>2263.0300000000002</v>
          </cell>
        </row>
        <row r="3792">
          <cell r="B3792">
            <v>37353</v>
          </cell>
          <cell r="C3792">
            <v>2263.0300000000002</v>
          </cell>
        </row>
        <row r="3793">
          <cell r="B3793">
            <v>37354</v>
          </cell>
          <cell r="C3793">
            <v>2263.0300000000002</v>
          </cell>
        </row>
        <row r="3794">
          <cell r="B3794">
            <v>37355</v>
          </cell>
          <cell r="C3794">
            <v>2255.02</v>
          </cell>
        </row>
        <row r="3795">
          <cell r="B3795">
            <v>37356</v>
          </cell>
          <cell r="C3795">
            <v>2254.4499999999998</v>
          </cell>
        </row>
        <row r="3796">
          <cell r="B3796">
            <v>37357</v>
          </cell>
          <cell r="C3796">
            <v>2257.7800000000002</v>
          </cell>
        </row>
        <row r="3797">
          <cell r="B3797">
            <v>37358</v>
          </cell>
          <cell r="C3797">
            <v>2261.66</v>
          </cell>
        </row>
        <row r="3798">
          <cell r="B3798">
            <v>37359</v>
          </cell>
          <cell r="C3798">
            <v>2264.98</v>
          </cell>
        </row>
        <row r="3799">
          <cell r="B3799">
            <v>37360</v>
          </cell>
          <cell r="C3799">
            <v>2264.98</v>
          </cell>
        </row>
        <row r="3800">
          <cell r="B3800">
            <v>37361</v>
          </cell>
          <cell r="C3800">
            <v>2264.98</v>
          </cell>
        </row>
        <row r="3801">
          <cell r="B3801">
            <v>37362</v>
          </cell>
          <cell r="C3801">
            <v>2266.92</v>
          </cell>
        </row>
        <row r="3802">
          <cell r="B3802">
            <v>37363</v>
          </cell>
          <cell r="C3802">
            <v>2262.56</v>
          </cell>
        </row>
        <row r="3803">
          <cell r="B3803">
            <v>37364</v>
          </cell>
          <cell r="C3803">
            <v>2261.12</v>
          </cell>
        </row>
        <row r="3804">
          <cell r="B3804">
            <v>37365</v>
          </cell>
          <cell r="C3804">
            <v>2256.66</v>
          </cell>
        </row>
        <row r="3805">
          <cell r="B3805">
            <v>37366</v>
          </cell>
          <cell r="C3805">
            <v>2260.9</v>
          </cell>
        </row>
        <row r="3806">
          <cell r="B3806">
            <v>37367</v>
          </cell>
          <cell r="C3806">
            <v>2260.9</v>
          </cell>
        </row>
        <row r="3807">
          <cell r="B3807">
            <v>37368</v>
          </cell>
          <cell r="C3807">
            <v>2260.9</v>
          </cell>
        </row>
        <row r="3808">
          <cell r="B3808">
            <v>37369</v>
          </cell>
          <cell r="C3808">
            <v>2259.88</v>
          </cell>
        </row>
        <row r="3809">
          <cell r="B3809">
            <v>37370</v>
          </cell>
          <cell r="C3809">
            <v>2263.6799999999998</v>
          </cell>
        </row>
        <row r="3810">
          <cell r="B3810">
            <v>37371</v>
          </cell>
          <cell r="C3810">
            <v>2265.6999999999998</v>
          </cell>
        </row>
        <row r="3811">
          <cell r="B3811">
            <v>37372</v>
          </cell>
          <cell r="C3811">
            <v>2267.4</v>
          </cell>
        </row>
        <row r="3812">
          <cell r="B3812">
            <v>37373</v>
          </cell>
          <cell r="C3812">
            <v>2270.92</v>
          </cell>
        </row>
        <row r="3813">
          <cell r="B3813">
            <v>37374</v>
          </cell>
          <cell r="C3813">
            <v>2270.92</v>
          </cell>
        </row>
        <row r="3814">
          <cell r="B3814">
            <v>37375</v>
          </cell>
          <cell r="C3814">
            <v>2270.92</v>
          </cell>
        </row>
        <row r="3815">
          <cell r="B3815">
            <v>37376</v>
          </cell>
          <cell r="C3815">
            <v>2275.35</v>
          </cell>
        </row>
        <row r="3816">
          <cell r="B3816">
            <v>37377</v>
          </cell>
          <cell r="C3816">
            <v>2275.4299999999998</v>
          </cell>
        </row>
        <row r="3817">
          <cell r="B3817">
            <v>37378</v>
          </cell>
          <cell r="C3817">
            <v>2275.4299999999998</v>
          </cell>
        </row>
        <row r="3818">
          <cell r="B3818">
            <v>37379</v>
          </cell>
          <cell r="C3818">
            <v>2279.56</v>
          </cell>
        </row>
        <row r="3819">
          <cell r="B3819">
            <v>37380</v>
          </cell>
          <cell r="C3819">
            <v>2286.39</v>
          </cell>
        </row>
        <row r="3820">
          <cell r="B3820">
            <v>37381</v>
          </cell>
          <cell r="C3820">
            <v>2286.39</v>
          </cell>
        </row>
        <row r="3821">
          <cell r="B3821">
            <v>37382</v>
          </cell>
          <cell r="C3821">
            <v>2286.39</v>
          </cell>
        </row>
        <row r="3822">
          <cell r="B3822">
            <v>37383</v>
          </cell>
          <cell r="C3822">
            <v>2285.64</v>
          </cell>
        </row>
        <row r="3823">
          <cell r="B3823">
            <v>37384</v>
          </cell>
          <cell r="C3823">
            <v>2286.6</v>
          </cell>
        </row>
        <row r="3824">
          <cell r="B3824">
            <v>37385</v>
          </cell>
          <cell r="C3824">
            <v>2284.9299999999998</v>
          </cell>
        </row>
        <row r="3825">
          <cell r="B3825">
            <v>37386</v>
          </cell>
          <cell r="C3825">
            <v>2289.17</v>
          </cell>
        </row>
        <row r="3826">
          <cell r="B3826">
            <v>37387</v>
          </cell>
          <cell r="C3826">
            <v>2292</v>
          </cell>
        </row>
        <row r="3827">
          <cell r="B3827">
            <v>37388</v>
          </cell>
          <cell r="C3827">
            <v>2292</v>
          </cell>
        </row>
        <row r="3828">
          <cell r="B3828">
            <v>37389</v>
          </cell>
          <cell r="C3828">
            <v>2292</v>
          </cell>
        </row>
        <row r="3829">
          <cell r="B3829">
            <v>37390</v>
          </cell>
          <cell r="C3829">
            <v>2292</v>
          </cell>
        </row>
        <row r="3830">
          <cell r="B3830">
            <v>37391</v>
          </cell>
          <cell r="C3830">
            <v>2293</v>
          </cell>
        </row>
        <row r="3831">
          <cell r="B3831">
            <v>37392</v>
          </cell>
          <cell r="C3831">
            <v>2300.02</v>
          </cell>
        </row>
        <row r="3832">
          <cell r="B3832">
            <v>37393</v>
          </cell>
          <cell r="C3832">
            <v>2314.21</v>
          </cell>
        </row>
        <row r="3833">
          <cell r="B3833">
            <v>37394</v>
          </cell>
          <cell r="C3833">
            <v>2332.6799999999998</v>
          </cell>
        </row>
        <row r="3834">
          <cell r="B3834">
            <v>37395</v>
          </cell>
          <cell r="C3834">
            <v>2332.6799999999998</v>
          </cell>
        </row>
        <row r="3835">
          <cell r="B3835">
            <v>37396</v>
          </cell>
          <cell r="C3835">
            <v>2332.6799999999998</v>
          </cell>
        </row>
        <row r="3836">
          <cell r="B3836">
            <v>37397</v>
          </cell>
          <cell r="C3836">
            <v>2350.1999999999998</v>
          </cell>
        </row>
        <row r="3837">
          <cell r="B3837">
            <v>37398</v>
          </cell>
          <cell r="C3837">
            <v>2363.2800000000002</v>
          </cell>
        </row>
        <row r="3838">
          <cell r="B3838">
            <v>37399</v>
          </cell>
          <cell r="C3838">
            <v>2349.8000000000002</v>
          </cell>
        </row>
        <row r="3839">
          <cell r="B3839">
            <v>37400</v>
          </cell>
          <cell r="C3839">
            <v>2338.5500000000002</v>
          </cell>
        </row>
        <row r="3840">
          <cell r="B3840">
            <v>37401</v>
          </cell>
          <cell r="C3840">
            <v>2331.0700000000002</v>
          </cell>
        </row>
        <row r="3841">
          <cell r="B3841">
            <v>37402</v>
          </cell>
          <cell r="C3841">
            <v>2331.0700000000002</v>
          </cell>
        </row>
        <row r="3842">
          <cell r="B3842">
            <v>37403</v>
          </cell>
          <cell r="C3842">
            <v>2331.0700000000002</v>
          </cell>
        </row>
        <row r="3843">
          <cell r="B3843">
            <v>37404</v>
          </cell>
          <cell r="C3843">
            <v>2309.85</v>
          </cell>
        </row>
        <row r="3844">
          <cell r="B3844">
            <v>37405</v>
          </cell>
          <cell r="C3844">
            <v>2314.3000000000002</v>
          </cell>
        </row>
        <row r="3845">
          <cell r="B3845">
            <v>37406</v>
          </cell>
          <cell r="C3845">
            <v>2317.12</v>
          </cell>
        </row>
        <row r="3846">
          <cell r="B3846">
            <v>37407</v>
          </cell>
          <cell r="C3846">
            <v>2321.16</v>
          </cell>
        </row>
        <row r="3847">
          <cell r="B3847">
            <v>37408</v>
          </cell>
          <cell r="C3847">
            <v>2321.6799999999998</v>
          </cell>
        </row>
        <row r="3848">
          <cell r="B3848">
            <v>37409</v>
          </cell>
          <cell r="C3848">
            <v>2321.6799999999998</v>
          </cell>
        </row>
        <row r="3849">
          <cell r="B3849">
            <v>37410</v>
          </cell>
          <cell r="C3849">
            <v>2321.6799999999998</v>
          </cell>
        </row>
        <row r="3850">
          <cell r="B3850">
            <v>37411</v>
          </cell>
          <cell r="C3850">
            <v>2321.6799999999998</v>
          </cell>
        </row>
        <row r="3851">
          <cell r="B3851">
            <v>37412</v>
          </cell>
          <cell r="C3851">
            <v>2324.54</v>
          </cell>
        </row>
        <row r="3852">
          <cell r="B3852">
            <v>37413</v>
          </cell>
          <cell r="C3852">
            <v>2331.69</v>
          </cell>
        </row>
        <row r="3853">
          <cell r="B3853">
            <v>37414</v>
          </cell>
          <cell r="C3853">
            <v>2335.3000000000002</v>
          </cell>
        </row>
        <row r="3854">
          <cell r="B3854">
            <v>37415</v>
          </cell>
          <cell r="C3854">
            <v>2336.11</v>
          </cell>
        </row>
        <row r="3855">
          <cell r="B3855">
            <v>37416</v>
          </cell>
          <cell r="C3855">
            <v>2336.11</v>
          </cell>
        </row>
        <row r="3856">
          <cell r="B3856">
            <v>37417</v>
          </cell>
          <cell r="C3856">
            <v>2336.11</v>
          </cell>
        </row>
        <row r="3857">
          <cell r="B3857">
            <v>37418</v>
          </cell>
          <cell r="C3857">
            <v>2336.11</v>
          </cell>
        </row>
        <row r="3858">
          <cell r="B3858">
            <v>37419</v>
          </cell>
          <cell r="C3858">
            <v>2340.36</v>
          </cell>
        </row>
        <row r="3859">
          <cell r="B3859">
            <v>37420</v>
          </cell>
          <cell r="C3859">
            <v>2347.6799999999998</v>
          </cell>
        </row>
        <row r="3860">
          <cell r="B3860">
            <v>37421</v>
          </cell>
          <cell r="C3860">
            <v>2357.14</v>
          </cell>
        </row>
        <row r="3861">
          <cell r="B3861">
            <v>37422</v>
          </cell>
          <cell r="C3861">
            <v>2369.12</v>
          </cell>
        </row>
        <row r="3862">
          <cell r="B3862">
            <v>37423</v>
          </cell>
          <cell r="C3862">
            <v>2369.12</v>
          </cell>
        </row>
        <row r="3863">
          <cell r="B3863">
            <v>37424</v>
          </cell>
          <cell r="C3863">
            <v>2369.12</v>
          </cell>
        </row>
        <row r="3864">
          <cell r="B3864">
            <v>37425</v>
          </cell>
          <cell r="C3864">
            <v>2379.92</v>
          </cell>
        </row>
        <row r="3865">
          <cell r="B3865">
            <v>37426</v>
          </cell>
          <cell r="C3865">
            <v>2383.31</v>
          </cell>
        </row>
        <row r="3866">
          <cell r="B3866">
            <v>37427</v>
          </cell>
          <cell r="C3866">
            <v>2393.87</v>
          </cell>
        </row>
        <row r="3867">
          <cell r="B3867">
            <v>37428</v>
          </cell>
          <cell r="C3867">
            <v>2391.65</v>
          </cell>
        </row>
        <row r="3868">
          <cell r="B3868">
            <v>37429</v>
          </cell>
          <cell r="C3868">
            <v>2384.2199999999998</v>
          </cell>
        </row>
        <row r="3869">
          <cell r="B3869">
            <v>37430</v>
          </cell>
          <cell r="C3869">
            <v>2384.2199999999998</v>
          </cell>
        </row>
        <row r="3870">
          <cell r="B3870">
            <v>37431</v>
          </cell>
          <cell r="C3870">
            <v>2384.2199999999998</v>
          </cell>
        </row>
        <row r="3871">
          <cell r="B3871">
            <v>37432</v>
          </cell>
          <cell r="C3871">
            <v>2383.41</v>
          </cell>
        </row>
        <row r="3872">
          <cell r="B3872">
            <v>37433</v>
          </cell>
          <cell r="C3872">
            <v>2386.1799999999998</v>
          </cell>
        </row>
        <row r="3873">
          <cell r="B3873">
            <v>37434</v>
          </cell>
          <cell r="C3873">
            <v>2392.13</v>
          </cell>
        </row>
        <row r="3874">
          <cell r="B3874">
            <v>37435</v>
          </cell>
          <cell r="C3874">
            <v>2398.14</v>
          </cell>
        </row>
        <row r="3875">
          <cell r="B3875">
            <v>37436</v>
          </cell>
          <cell r="C3875">
            <v>2398.8200000000002</v>
          </cell>
        </row>
        <row r="3876">
          <cell r="B3876">
            <v>37437</v>
          </cell>
          <cell r="C3876">
            <v>2398.8200000000002</v>
          </cell>
        </row>
        <row r="3877">
          <cell r="B3877">
            <v>37438</v>
          </cell>
          <cell r="C3877">
            <v>2398.8200000000002</v>
          </cell>
        </row>
        <row r="3878">
          <cell r="B3878">
            <v>37439</v>
          </cell>
          <cell r="C3878">
            <v>2398.8200000000002</v>
          </cell>
        </row>
        <row r="3879">
          <cell r="B3879">
            <v>37440</v>
          </cell>
          <cell r="C3879">
            <v>2410.54</v>
          </cell>
        </row>
        <row r="3880">
          <cell r="B3880">
            <v>37441</v>
          </cell>
          <cell r="C3880">
            <v>2425.42</v>
          </cell>
        </row>
        <row r="3881">
          <cell r="B3881">
            <v>37442</v>
          </cell>
          <cell r="C3881">
            <v>2426.4</v>
          </cell>
        </row>
        <row r="3882">
          <cell r="B3882">
            <v>37443</v>
          </cell>
          <cell r="C3882">
            <v>2434.3200000000002</v>
          </cell>
        </row>
        <row r="3883">
          <cell r="B3883">
            <v>37444</v>
          </cell>
          <cell r="C3883">
            <v>2434.3200000000002</v>
          </cell>
        </row>
        <row r="3884">
          <cell r="B3884">
            <v>37445</v>
          </cell>
          <cell r="C3884">
            <v>2434.3200000000002</v>
          </cell>
        </row>
        <row r="3885">
          <cell r="B3885">
            <v>37446</v>
          </cell>
          <cell r="C3885">
            <v>2457.39</v>
          </cell>
        </row>
        <row r="3886">
          <cell r="B3886">
            <v>37447</v>
          </cell>
          <cell r="C3886">
            <v>2462.1799999999998</v>
          </cell>
        </row>
        <row r="3887">
          <cell r="B3887">
            <v>37448</v>
          </cell>
          <cell r="C3887">
            <v>2482.21</v>
          </cell>
        </row>
        <row r="3888">
          <cell r="B3888">
            <v>37449</v>
          </cell>
          <cell r="C3888">
            <v>2506.84</v>
          </cell>
        </row>
        <row r="3889">
          <cell r="B3889">
            <v>37450</v>
          </cell>
          <cell r="C3889">
            <v>2513.9899999999998</v>
          </cell>
        </row>
        <row r="3890">
          <cell r="B3890">
            <v>37451</v>
          </cell>
          <cell r="C3890">
            <v>2513.9899999999998</v>
          </cell>
        </row>
        <row r="3891">
          <cell r="B3891">
            <v>37452</v>
          </cell>
          <cell r="C3891">
            <v>2513.9899999999998</v>
          </cell>
        </row>
        <row r="3892">
          <cell r="B3892">
            <v>37453</v>
          </cell>
          <cell r="C3892">
            <v>2507.21</v>
          </cell>
        </row>
        <row r="3893">
          <cell r="B3893">
            <v>37454</v>
          </cell>
          <cell r="C3893">
            <v>2499.92</v>
          </cell>
        </row>
        <row r="3894">
          <cell r="B3894">
            <v>37455</v>
          </cell>
          <cell r="C3894">
            <v>2524.7600000000002</v>
          </cell>
        </row>
        <row r="3895">
          <cell r="B3895">
            <v>37456</v>
          </cell>
          <cell r="C3895">
            <v>2538.4699999999998</v>
          </cell>
        </row>
        <row r="3896">
          <cell r="B3896">
            <v>37457</v>
          </cell>
          <cell r="C3896">
            <v>2529.5700000000002</v>
          </cell>
        </row>
        <row r="3897">
          <cell r="B3897">
            <v>37458</v>
          </cell>
          <cell r="C3897">
            <v>2529.5700000000002</v>
          </cell>
        </row>
        <row r="3898">
          <cell r="B3898">
            <v>37459</v>
          </cell>
          <cell r="C3898">
            <v>2529.5700000000002</v>
          </cell>
        </row>
        <row r="3899">
          <cell r="B3899">
            <v>37460</v>
          </cell>
          <cell r="C3899">
            <v>2517.42</v>
          </cell>
        </row>
        <row r="3900">
          <cell r="B3900">
            <v>37461</v>
          </cell>
          <cell r="C3900">
            <v>2539</v>
          </cell>
        </row>
        <row r="3901">
          <cell r="B3901">
            <v>37462</v>
          </cell>
          <cell r="C3901">
            <v>2572.42</v>
          </cell>
        </row>
        <row r="3902">
          <cell r="B3902">
            <v>37463</v>
          </cell>
          <cell r="C3902">
            <v>2580.15</v>
          </cell>
        </row>
        <row r="3903">
          <cell r="B3903">
            <v>37464</v>
          </cell>
          <cell r="C3903">
            <v>2596.2600000000002</v>
          </cell>
        </row>
        <row r="3904">
          <cell r="B3904">
            <v>37465</v>
          </cell>
          <cell r="C3904">
            <v>2596.2600000000002</v>
          </cell>
        </row>
        <row r="3905">
          <cell r="B3905">
            <v>37466</v>
          </cell>
          <cell r="C3905">
            <v>2596.2600000000002</v>
          </cell>
        </row>
        <row r="3906">
          <cell r="B3906">
            <v>37467</v>
          </cell>
          <cell r="C3906">
            <v>2599.5700000000002</v>
          </cell>
        </row>
        <row r="3907">
          <cell r="B3907">
            <v>37468</v>
          </cell>
          <cell r="C3907">
            <v>2625.06</v>
          </cell>
        </row>
        <row r="3908">
          <cell r="B3908">
            <v>37469</v>
          </cell>
          <cell r="C3908">
            <v>2636.3</v>
          </cell>
        </row>
        <row r="3909">
          <cell r="B3909">
            <v>37470</v>
          </cell>
          <cell r="C3909">
            <v>2640.35</v>
          </cell>
        </row>
        <row r="3910">
          <cell r="B3910">
            <v>37471</v>
          </cell>
          <cell r="C3910">
            <v>2643.03</v>
          </cell>
        </row>
        <row r="3911">
          <cell r="B3911">
            <v>37472</v>
          </cell>
          <cell r="C3911">
            <v>2643.03</v>
          </cell>
        </row>
        <row r="3912">
          <cell r="B3912">
            <v>37473</v>
          </cell>
          <cell r="C3912">
            <v>2643.03</v>
          </cell>
        </row>
        <row r="3913">
          <cell r="B3913">
            <v>37474</v>
          </cell>
          <cell r="C3913">
            <v>2663.81</v>
          </cell>
        </row>
        <row r="3914">
          <cell r="B3914">
            <v>37475</v>
          </cell>
          <cell r="C3914">
            <v>2670.61</v>
          </cell>
        </row>
        <row r="3915">
          <cell r="B3915">
            <v>37476</v>
          </cell>
          <cell r="C3915">
            <v>2670.61</v>
          </cell>
        </row>
        <row r="3916">
          <cell r="B3916">
            <v>37477</v>
          </cell>
          <cell r="C3916">
            <v>2649.32</v>
          </cell>
        </row>
        <row r="3917">
          <cell r="B3917">
            <v>37478</v>
          </cell>
          <cell r="C3917">
            <v>2568.8000000000002</v>
          </cell>
        </row>
        <row r="3918">
          <cell r="B3918">
            <v>37479</v>
          </cell>
          <cell r="C3918">
            <v>2568.8000000000002</v>
          </cell>
        </row>
        <row r="3919">
          <cell r="B3919">
            <v>37480</v>
          </cell>
          <cell r="C3919">
            <v>2568.8000000000002</v>
          </cell>
        </row>
        <row r="3920">
          <cell r="B3920">
            <v>37481</v>
          </cell>
          <cell r="C3920">
            <v>2595.8000000000002</v>
          </cell>
        </row>
        <row r="3921">
          <cell r="B3921">
            <v>37482</v>
          </cell>
          <cell r="C3921">
            <v>2657.98</v>
          </cell>
        </row>
        <row r="3922">
          <cell r="B3922">
            <v>37483</v>
          </cell>
          <cell r="C3922">
            <v>2635.87</v>
          </cell>
        </row>
        <row r="3923">
          <cell r="B3923">
            <v>37484</v>
          </cell>
          <cell r="C3923">
            <v>2648.77</v>
          </cell>
        </row>
        <row r="3924">
          <cell r="B3924">
            <v>37485</v>
          </cell>
          <cell r="C3924">
            <v>2663.61</v>
          </cell>
        </row>
        <row r="3925">
          <cell r="B3925">
            <v>37486</v>
          </cell>
          <cell r="C3925">
            <v>2663.61</v>
          </cell>
        </row>
        <row r="3926">
          <cell r="B3926">
            <v>37487</v>
          </cell>
          <cell r="C3926">
            <v>2663.61</v>
          </cell>
        </row>
        <row r="3927">
          <cell r="B3927">
            <v>37488</v>
          </cell>
          <cell r="C3927">
            <v>2663.61</v>
          </cell>
        </row>
        <row r="3928">
          <cell r="B3928">
            <v>37489</v>
          </cell>
          <cell r="C3928">
            <v>2620.91</v>
          </cell>
        </row>
        <row r="3929">
          <cell r="B3929">
            <v>37490</v>
          </cell>
          <cell r="C3929">
            <v>2626.17</v>
          </cell>
        </row>
        <row r="3930">
          <cell r="B3930">
            <v>37491</v>
          </cell>
          <cell r="C3930">
            <v>2652.96</v>
          </cell>
        </row>
        <row r="3931">
          <cell r="B3931">
            <v>37492</v>
          </cell>
          <cell r="C3931">
            <v>2643.37</v>
          </cell>
        </row>
        <row r="3932">
          <cell r="B3932">
            <v>37493</v>
          </cell>
          <cell r="C3932">
            <v>2643.37</v>
          </cell>
        </row>
        <row r="3933">
          <cell r="B3933">
            <v>37494</v>
          </cell>
          <cell r="C3933">
            <v>2643.37</v>
          </cell>
        </row>
        <row r="3934">
          <cell r="B3934">
            <v>37495</v>
          </cell>
          <cell r="C3934">
            <v>2653.29</v>
          </cell>
        </row>
        <row r="3935">
          <cell r="B3935">
            <v>37496</v>
          </cell>
          <cell r="C3935">
            <v>2672.25</v>
          </cell>
        </row>
        <row r="3936">
          <cell r="B3936">
            <v>37497</v>
          </cell>
          <cell r="C3936">
            <v>2688.64</v>
          </cell>
        </row>
        <row r="3937">
          <cell r="B3937">
            <v>37498</v>
          </cell>
          <cell r="C3937">
            <v>2712.46</v>
          </cell>
        </row>
        <row r="3938">
          <cell r="B3938">
            <v>37499</v>
          </cell>
          <cell r="C3938">
            <v>2703.55</v>
          </cell>
        </row>
        <row r="3939">
          <cell r="B3939">
            <v>37500</v>
          </cell>
          <cell r="C3939">
            <v>2703.55</v>
          </cell>
        </row>
        <row r="3940">
          <cell r="B3940">
            <v>37501</v>
          </cell>
          <cell r="C3940">
            <v>2703.55</v>
          </cell>
        </row>
        <row r="3941">
          <cell r="B3941">
            <v>37502</v>
          </cell>
          <cell r="C3941">
            <v>2679.51</v>
          </cell>
        </row>
        <row r="3942">
          <cell r="B3942">
            <v>37503</v>
          </cell>
          <cell r="C3942">
            <v>2677.39</v>
          </cell>
        </row>
        <row r="3943">
          <cell r="B3943">
            <v>37504</v>
          </cell>
          <cell r="C3943">
            <v>2694.51</v>
          </cell>
        </row>
        <row r="3944">
          <cell r="B3944">
            <v>37505</v>
          </cell>
          <cell r="C3944">
            <v>2714.77</v>
          </cell>
        </row>
        <row r="3945">
          <cell r="B3945">
            <v>37506</v>
          </cell>
          <cell r="C3945">
            <v>2712.14</v>
          </cell>
        </row>
        <row r="3946">
          <cell r="B3946">
            <v>37507</v>
          </cell>
          <cell r="C3946">
            <v>2712.14</v>
          </cell>
        </row>
        <row r="3947">
          <cell r="B3947">
            <v>37508</v>
          </cell>
          <cell r="C3947">
            <v>2712.14</v>
          </cell>
        </row>
        <row r="3948">
          <cell r="B3948">
            <v>37509</v>
          </cell>
          <cell r="C3948">
            <v>2703.63</v>
          </cell>
        </row>
        <row r="3949">
          <cell r="B3949">
            <v>37510</v>
          </cell>
          <cell r="C3949">
            <v>2707.58</v>
          </cell>
        </row>
        <row r="3950">
          <cell r="B3950">
            <v>37511</v>
          </cell>
          <cell r="C3950">
            <v>2718.85</v>
          </cell>
        </row>
        <row r="3951">
          <cell r="B3951">
            <v>37512</v>
          </cell>
          <cell r="C3951">
            <v>2730.91</v>
          </cell>
        </row>
        <row r="3952">
          <cell r="B3952">
            <v>37513</v>
          </cell>
          <cell r="C3952">
            <v>2741.29</v>
          </cell>
        </row>
        <row r="3953">
          <cell r="B3953">
            <v>37514</v>
          </cell>
          <cell r="C3953">
            <v>2741.29</v>
          </cell>
        </row>
        <row r="3954">
          <cell r="B3954">
            <v>37515</v>
          </cell>
          <cell r="C3954">
            <v>2741.29</v>
          </cell>
        </row>
        <row r="3955">
          <cell r="B3955">
            <v>37516</v>
          </cell>
          <cell r="C3955">
            <v>2758.95</v>
          </cell>
        </row>
        <row r="3956">
          <cell r="B3956">
            <v>37517</v>
          </cell>
          <cell r="C3956">
            <v>2783.44</v>
          </cell>
        </row>
        <row r="3957">
          <cell r="B3957">
            <v>37518</v>
          </cell>
          <cell r="C3957">
            <v>2785.81</v>
          </cell>
        </row>
        <row r="3958">
          <cell r="B3958">
            <v>37519</v>
          </cell>
          <cell r="C3958">
            <v>2789.01</v>
          </cell>
        </row>
        <row r="3959">
          <cell r="B3959">
            <v>37520</v>
          </cell>
          <cell r="C3959">
            <v>2815.05</v>
          </cell>
        </row>
        <row r="3960">
          <cell r="B3960">
            <v>37521</v>
          </cell>
          <cell r="C3960">
            <v>2815.05</v>
          </cell>
        </row>
        <row r="3961">
          <cell r="B3961">
            <v>37522</v>
          </cell>
          <cell r="C3961">
            <v>2815.05</v>
          </cell>
        </row>
        <row r="3962">
          <cell r="B3962">
            <v>37523</v>
          </cell>
          <cell r="C3962">
            <v>2793.36</v>
          </cell>
        </row>
        <row r="3963">
          <cell r="B3963">
            <v>37524</v>
          </cell>
          <cell r="C3963">
            <v>2810.46</v>
          </cell>
        </row>
        <row r="3964">
          <cell r="B3964">
            <v>37525</v>
          </cell>
          <cell r="C3964">
            <v>2802.32</v>
          </cell>
        </row>
        <row r="3965">
          <cell r="B3965">
            <v>37526</v>
          </cell>
          <cell r="C3965">
            <v>2825.32</v>
          </cell>
        </row>
        <row r="3966">
          <cell r="B3966">
            <v>37527</v>
          </cell>
          <cell r="C3966">
            <v>2828.08</v>
          </cell>
        </row>
        <row r="3967">
          <cell r="B3967">
            <v>37528</v>
          </cell>
          <cell r="C3967">
            <v>2828.08</v>
          </cell>
        </row>
        <row r="3968">
          <cell r="B3968">
            <v>37529</v>
          </cell>
          <cell r="C3968">
            <v>2828.08</v>
          </cell>
        </row>
        <row r="3969">
          <cell r="B3969">
            <v>37530</v>
          </cell>
          <cell r="C3969">
            <v>2850.65</v>
          </cell>
        </row>
        <row r="3970">
          <cell r="B3970">
            <v>37531</v>
          </cell>
          <cell r="C3970">
            <v>2885.48</v>
          </cell>
        </row>
        <row r="3971">
          <cell r="B3971">
            <v>37532</v>
          </cell>
          <cell r="C3971">
            <v>2888.23</v>
          </cell>
        </row>
        <row r="3972">
          <cell r="B3972">
            <v>37533</v>
          </cell>
          <cell r="C3972">
            <v>2881.78</v>
          </cell>
        </row>
        <row r="3973">
          <cell r="B3973">
            <v>37534</v>
          </cell>
          <cell r="C3973">
            <v>2876.4</v>
          </cell>
        </row>
        <row r="3974">
          <cell r="B3974">
            <v>37535</v>
          </cell>
          <cell r="C3974">
            <v>2876.4</v>
          </cell>
        </row>
        <row r="3975">
          <cell r="B3975">
            <v>37536</v>
          </cell>
          <cell r="C3975">
            <v>2876.4</v>
          </cell>
        </row>
        <row r="3976">
          <cell r="B3976">
            <v>37537</v>
          </cell>
          <cell r="C3976">
            <v>2869.73</v>
          </cell>
        </row>
        <row r="3977">
          <cell r="B3977">
            <v>37538</v>
          </cell>
          <cell r="C3977">
            <v>2850.98</v>
          </cell>
        </row>
        <row r="3978">
          <cell r="B3978">
            <v>37539</v>
          </cell>
          <cell r="C3978">
            <v>2854.04</v>
          </cell>
        </row>
        <row r="3979">
          <cell r="B3979">
            <v>37540</v>
          </cell>
          <cell r="C3979">
            <v>2870.63</v>
          </cell>
        </row>
        <row r="3980">
          <cell r="B3980">
            <v>37541</v>
          </cell>
          <cell r="C3980">
            <v>2861.16</v>
          </cell>
        </row>
        <row r="3981">
          <cell r="B3981">
            <v>37542</v>
          </cell>
          <cell r="C3981">
            <v>2861.16</v>
          </cell>
        </row>
        <row r="3982">
          <cell r="B3982">
            <v>37543</v>
          </cell>
          <cell r="C3982">
            <v>2861.16</v>
          </cell>
        </row>
        <row r="3983">
          <cell r="B3983">
            <v>37544</v>
          </cell>
          <cell r="C3983">
            <v>2861.16</v>
          </cell>
        </row>
        <row r="3984">
          <cell r="B3984">
            <v>37545</v>
          </cell>
          <cell r="C3984">
            <v>2852.99</v>
          </cell>
        </row>
        <row r="3985">
          <cell r="B3985">
            <v>37546</v>
          </cell>
          <cell r="C3985">
            <v>2857.13</v>
          </cell>
        </row>
        <row r="3986">
          <cell r="B3986">
            <v>37547</v>
          </cell>
          <cell r="C3986">
            <v>2853.9</v>
          </cell>
        </row>
        <row r="3987">
          <cell r="B3987">
            <v>37548</v>
          </cell>
          <cell r="C3987">
            <v>2836.34</v>
          </cell>
        </row>
        <row r="3988">
          <cell r="B3988">
            <v>37549</v>
          </cell>
          <cell r="C3988">
            <v>2836.34</v>
          </cell>
        </row>
        <row r="3989">
          <cell r="B3989">
            <v>37550</v>
          </cell>
          <cell r="C3989">
            <v>2836.34</v>
          </cell>
        </row>
        <row r="3990">
          <cell r="B3990">
            <v>37551</v>
          </cell>
          <cell r="C3990">
            <v>2791.46</v>
          </cell>
        </row>
        <row r="3991">
          <cell r="B3991">
            <v>37552</v>
          </cell>
          <cell r="C3991">
            <v>2758.76</v>
          </cell>
        </row>
        <row r="3992">
          <cell r="B3992">
            <v>37553</v>
          </cell>
          <cell r="C3992">
            <v>2744.32</v>
          </cell>
        </row>
        <row r="3993">
          <cell r="B3993">
            <v>37554</v>
          </cell>
          <cell r="C3993">
            <v>2747.07</v>
          </cell>
        </row>
        <row r="3994">
          <cell r="B3994">
            <v>37555</v>
          </cell>
          <cell r="C3994">
            <v>2755.69</v>
          </cell>
        </row>
        <row r="3995">
          <cell r="B3995">
            <v>37556</v>
          </cell>
          <cell r="C3995">
            <v>2755.69</v>
          </cell>
        </row>
        <row r="3996">
          <cell r="B3996">
            <v>37557</v>
          </cell>
          <cell r="C3996">
            <v>2755.69</v>
          </cell>
        </row>
        <row r="3997">
          <cell r="B3997">
            <v>37558</v>
          </cell>
          <cell r="C3997">
            <v>2770.73</v>
          </cell>
        </row>
        <row r="3998">
          <cell r="B3998">
            <v>37559</v>
          </cell>
          <cell r="C3998">
            <v>2781.72</v>
          </cell>
        </row>
        <row r="3999">
          <cell r="B3999">
            <v>37560</v>
          </cell>
          <cell r="C3999">
            <v>2773.73</v>
          </cell>
        </row>
        <row r="4000">
          <cell r="B4000">
            <v>37561</v>
          </cell>
          <cell r="C4000">
            <v>2778.6</v>
          </cell>
        </row>
        <row r="4001">
          <cell r="B4001">
            <v>37562</v>
          </cell>
          <cell r="C4001">
            <v>2778.47</v>
          </cell>
        </row>
        <row r="4002">
          <cell r="B4002">
            <v>37563</v>
          </cell>
          <cell r="C4002">
            <v>2778.47</v>
          </cell>
        </row>
        <row r="4003">
          <cell r="B4003">
            <v>37564</v>
          </cell>
          <cell r="C4003">
            <v>2778.47</v>
          </cell>
        </row>
        <row r="4004">
          <cell r="B4004">
            <v>37565</v>
          </cell>
          <cell r="C4004">
            <v>2778.47</v>
          </cell>
        </row>
        <row r="4005">
          <cell r="B4005">
            <v>37566</v>
          </cell>
          <cell r="C4005">
            <v>2774.58</v>
          </cell>
        </row>
        <row r="4006">
          <cell r="B4006">
            <v>37567</v>
          </cell>
          <cell r="C4006">
            <v>2761.99</v>
          </cell>
        </row>
        <row r="4007">
          <cell r="B4007">
            <v>37568</v>
          </cell>
          <cell r="C4007">
            <v>2743</v>
          </cell>
        </row>
        <row r="4008">
          <cell r="B4008">
            <v>37569</v>
          </cell>
          <cell r="C4008">
            <v>2743.92</v>
          </cell>
        </row>
        <row r="4009">
          <cell r="B4009">
            <v>37570</v>
          </cell>
          <cell r="C4009">
            <v>2743.92</v>
          </cell>
        </row>
        <row r="4010">
          <cell r="B4010">
            <v>37571</v>
          </cell>
          <cell r="C4010">
            <v>2743.92</v>
          </cell>
        </row>
        <row r="4011">
          <cell r="B4011">
            <v>37572</v>
          </cell>
          <cell r="C4011">
            <v>2743.92</v>
          </cell>
        </row>
        <row r="4012">
          <cell r="B4012">
            <v>37573</v>
          </cell>
          <cell r="C4012">
            <v>2727.05</v>
          </cell>
        </row>
        <row r="4013">
          <cell r="B4013">
            <v>37574</v>
          </cell>
          <cell r="C4013">
            <v>2717.89</v>
          </cell>
        </row>
        <row r="4014">
          <cell r="B4014">
            <v>37575</v>
          </cell>
          <cell r="C4014">
            <v>2724.04</v>
          </cell>
        </row>
        <row r="4015">
          <cell r="B4015">
            <v>37576</v>
          </cell>
          <cell r="C4015">
            <v>2703.75</v>
          </cell>
        </row>
        <row r="4016">
          <cell r="B4016">
            <v>37577</v>
          </cell>
          <cell r="C4016">
            <v>2703.75</v>
          </cell>
        </row>
        <row r="4017">
          <cell r="B4017">
            <v>37578</v>
          </cell>
          <cell r="C4017">
            <v>2703.75</v>
          </cell>
        </row>
        <row r="4018">
          <cell r="B4018">
            <v>37579</v>
          </cell>
          <cell r="C4018">
            <v>2679.96</v>
          </cell>
        </row>
        <row r="4019">
          <cell r="B4019">
            <v>37580</v>
          </cell>
          <cell r="C4019">
            <v>2683.04</v>
          </cell>
        </row>
        <row r="4020">
          <cell r="B4020">
            <v>37581</v>
          </cell>
          <cell r="C4020">
            <v>2671.7</v>
          </cell>
        </row>
        <row r="4021">
          <cell r="B4021">
            <v>37582</v>
          </cell>
          <cell r="C4021">
            <v>2666.41</v>
          </cell>
        </row>
        <row r="4022">
          <cell r="B4022">
            <v>37583</v>
          </cell>
          <cell r="C4022">
            <v>2687.25</v>
          </cell>
        </row>
        <row r="4023">
          <cell r="B4023">
            <v>37584</v>
          </cell>
          <cell r="C4023">
            <v>2687.25</v>
          </cell>
        </row>
        <row r="4024">
          <cell r="B4024">
            <v>37585</v>
          </cell>
          <cell r="C4024">
            <v>2687.25</v>
          </cell>
        </row>
        <row r="4025">
          <cell r="B4025">
            <v>37586</v>
          </cell>
          <cell r="C4025">
            <v>2716.95</v>
          </cell>
        </row>
        <row r="4026">
          <cell r="B4026">
            <v>37587</v>
          </cell>
          <cell r="C4026">
            <v>2735.04</v>
          </cell>
        </row>
        <row r="4027">
          <cell r="B4027">
            <v>37588</v>
          </cell>
          <cell r="C4027">
            <v>2754.67</v>
          </cell>
        </row>
        <row r="4028">
          <cell r="B4028">
            <v>37589</v>
          </cell>
          <cell r="C4028">
            <v>2758.28</v>
          </cell>
        </row>
        <row r="4029">
          <cell r="B4029">
            <v>37590</v>
          </cell>
          <cell r="C4029">
            <v>2784.21</v>
          </cell>
        </row>
        <row r="4030">
          <cell r="B4030">
            <v>37591</v>
          </cell>
          <cell r="C4030">
            <v>2784.21</v>
          </cell>
        </row>
        <row r="4031">
          <cell r="B4031">
            <v>37592</v>
          </cell>
          <cell r="C4031">
            <v>2784.21</v>
          </cell>
        </row>
        <row r="4032">
          <cell r="B4032">
            <v>37593</v>
          </cell>
          <cell r="C4032">
            <v>2812.94</v>
          </cell>
        </row>
        <row r="4033">
          <cell r="B4033">
            <v>37594</v>
          </cell>
          <cell r="C4033">
            <v>2826.1</v>
          </cell>
        </row>
        <row r="4034">
          <cell r="B4034">
            <v>37595</v>
          </cell>
          <cell r="C4034">
            <v>2806.63</v>
          </cell>
        </row>
        <row r="4035">
          <cell r="B4035">
            <v>37596</v>
          </cell>
          <cell r="C4035">
            <v>2788.72</v>
          </cell>
        </row>
        <row r="4036">
          <cell r="B4036">
            <v>37597</v>
          </cell>
          <cell r="C4036">
            <v>2782.4</v>
          </cell>
        </row>
        <row r="4037">
          <cell r="B4037">
            <v>37598</v>
          </cell>
          <cell r="C4037">
            <v>2782.4</v>
          </cell>
        </row>
        <row r="4038">
          <cell r="B4038">
            <v>37599</v>
          </cell>
          <cell r="C4038">
            <v>2782.4</v>
          </cell>
        </row>
        <row r="4039">
          <cell r="B4039">
            <v>37600</v>
          </cell>
          <cell r="C4039">
            <v>2815</v>
          </cell>
        </row>
        <row r="4040">
          <cell r="B4040">
            <v>37601</v>
          </cell>
          <cell r="C4040">
            <v>2816.42</v>
          </cell>
        </row>
        <row r="4041">
          <cell r="B4041">
            <v>37602</v>
          </cell>
          <cell r="C4041">
            <v>2801.01</v>
          </cell>
        </row>
        <row r="4042">
          <cell r="B4042">
            <v>37603</v>
          </cell>
          <cell r="C4042">
            <v>2793.16</v>
          </cell>
        </row>
        <row r="4043">
          <cell r="B4043">
            <v>37604</v>
          </cell>
          <cell r="C4043">
            <v>2808.16</v>
          </cell>
        </row>
        <row r="4044">
          <cell r="B4044">
            <v>37605</v>
          </cell>
          <cell r="C4044">
            <v>2808.16</v>
          </cell>
        </row>
        <row r="4045">
          <cell r="B4045">
            <v>37606</v>
          </cell>
          <cell r="C4045">
            <v>2808.16</v>
          </cell>
        </row>
        <row r="4046">
          <cell r="B4046">
            <v>37607</v>
          </cell>
          <cell r="C4046">
            <v>2807.61</v>
          </cell>
        </row>
        <row r="4047">
          <cell r="B4047">
            <v>37608</v>
          </cell>
          <cell r="C4047">
            <v>2805.55</v>
          </cell>
        </row>
        <row r="4048">
          <cell r="B4048">
            <v>37609</v>
          </cell>
          <cell r="C4048">
            <v>2818.81</v>
          </cell>
        </row>
        <row r="4049">
          <cell r="B4049">
            <v>37610</v>
          </cell>
          <cell r="C4049">
            <v>2818.54</v>
          </cell>
        </row>
        <row r="4050">
          <cell r="B4050">
            <v>37611</v>
          </cell>
          <cell r="C4050">
            <v>2814.71</v>
          </cell>
        </row>
        <row r="4051">
          <cell r="B4051">
            <v>37612</v>
          </cell>
          <cell r="C4051">
            <v>2814.71</v>
          </cell>
        </row>
        <row r="4052">
          <cell r="B4052">
            <v>37613</v>
          </cell>
          <cell r="C4052">
            <v>2814.71</v>
          </cell>
        </row>
        <row r="4053">
          <cell r="B4053">
            <v>37614</v>
          </cell>
          <cell r="C4053">
            <v>2826.04</v>
          </cell>
        </row>
        <row r="4054">
          <cell r="B4054">
            <v>37615</v>
          </cell>
          <cell r="C4054">
            <v>2823.95</v>
          </cell>
        </row>
        <row r="4055">
          <cell r="B4055">
            <v>37616</v>
          </cell>
          <cell r="C4055">
            <v>2823.95</v>
          </cell>
        </row>
        <row r="4056">
          <cell r="B4056">
            <v>37617</v>
          </cell>
          <cell r="C4056">
            <v>2843.57</v>
          </cell>
        </row>
        <row r="4057">
          <cell r="B4057">
            <v>37618</v>
          </cell>
          <cell r="C4057">
            <v>2854.29</v>
          </cell>
        </row>
        <row r="4058">
          <cell r="B4058">
            <v>37619</v>
          </cell>
          <cell r="C4058">
            <v>2854.29</v>
          </cell>
        </row>
        <row r="4059">
          <cell r="B4059">
            <v>37620</v>
          </cell>
          <cell r="C4059">
            <v>2854.29</v>
          </cell>
        </row>
        <row r="4060">
          <cell r="B4060">
            <v>37621</v>
          </cell>
          <cell r="C4060">
            <v>2864.79</v>
          </cell>
        </row>
        <row r="4061">
          <cell r="B4061">
            <v>37622</v>
          </cell>
          <cell r="C4061">
            <v>2864.79</v>
          </cell>
        </row>
        <row r="4062">
          <cell r="B4062">
            <v>37623</v>
          </cell>
          <cell r="C4062">
            <v>2864.79</v>
          </cell>
        </row>
        <row r="4063">
          <cell r="B4063">
            <v>37624</v>
          </cell>
          <cell r="C4063">
            <v>2844.82</v>
          </cell>
        </row>
        <row r="4064">
          <cell r="B4064">
            <v>37625</v>
          </cell>
          <cell r="C4064">
            <v>2841.56</v>
          </cell>
        </row>
        <row r="4065">
          <cell r="B4065">
            <v>37626</v>
          </cell>
          <cell r="C4065">
            <v>2841.56</v>
          </cell>
        </row>
        <row r="4066">
          <cell r="B4066">
            <v>37627</v>
          </cell>
          <cell r="C4066">
            <v>2841.56</v>
          </cell>
        </row>
        <row r="4067">
          <cell r="B4067">
            <v>37628</v>
          </cell>
          <cell r="C4067">
            <v>2841.56</v>
          </cell>
        </row>
        <row r="4068">
          <cell r="B4068">
            <v>37629</v>
          </cell>
          <cell r="C4068">
            <v>2881.83</v>
          </cell>
        </row>
        <row r="4069">
          <cell r="B4069">
            <v>37630</v>
          </cell>
          <cell r="C4069">
            <v>2902.92</v>
          </cell>
        </row>
        <row r="4070">
          <cell r="B4070">
            <v>37631</v>
          </cell>
          <cell r="C4070">
            <v>2915.01</v>
          </cell>
        </row>
        <row r="4071">
          <cell r="B4071">
            <v>37632</v>
          </cell>
          <cell r="C4071">
            <v>2905.77</v>
          </cell>
        </row>
        <row r="4072">
          <cell r="B4072">
            <v>37633</v>
          </cell>
          <cell r="C4072">
            <v>2905.77</v>
          </cell>
        </row>
        <row r="4073">
          <cell r="B4073">
            <v>37634</v>
          </cell>
          <cell r="C4073">
            <v>2905.77</v>
          </cell>
        </row>
        <row r="4074">
          <cell r="B4074">
            <v>37635</v>
          </cell>
          <cell r="C4074">
            <v>2906.49</v>
          </cell>
        </row>
        <row r="4075">
          <cell r="B4075">
            <v>37636</v>
          </cell>
          <cell r="C4075">
            <v>2903.05</v>
          </cell>
        </row>
        <row r="4076">
          <cell r="B4076">
            <v>37637</v>
          </cell>
          <cell r="C4076">
            <v>2905.41</v>
          </cell>
        </row>
        <row r="4077">
          <cell r="B4077">
            <v>37638</v>
          </cell>
          <cell r="C4077">
            <v>2928.19</v>
          </cell>
        </row>
        <row r="4078">
          <cell r="B4078">
            <v>37639</v>
          </cell>
          <cell r="C4078">
            <v>2923.58</v>
          </cell>
        </row>
        <row r="4079">
          <cell r="B4079">
            <v>37640</v>
          </cell>
          <cell r="C4079">
            <v>2923.58</v>
          </cell>
        </row>
        <row r="4080">
          <cell r="B4080">
            <v>37641</v>
          </cell>
          <cell r="C4080">
            <v>2923.58</v>
          </cell>
        </row>
        <row r="4081">
          <cell r="B4081">
            <v>37642</v>
          </cell>
          <cell r="C4081">
            <v>2926.06</v>
          </cell>
        </row>
        <row r="4082">
          <cell r="B4082">
            <v>37643</v>
          </cell>
          <cell r="C4082">
            <v>2933.81</v>
          </cell>
        </row>
        <row r="4083">
          <cell r="B4083">
            <v>37644</v>
          </cell>
          <cell r="C4083">
            <v>2947.05</v>
          </cell>
        </row>
        <row r="4084">
          <cell r="B4084">
            <v>37645</v>
          </cell>
          <cell r="C4084">
            <v>2926.88</v>
          </cell>
        </row>
        <row r="4085">
          <cell r="B4085">
            <v>37646</v>
          </cell>
          <cell r="C4085">
            <v>2924.73</v>
          </cell>
        </row>
        <row r="4086">
          <cell r="B4086">
            <v>37647</v>
          </cell>
          <cell r="C4086">
            <v>2924.73</v>
          </cell>
        </row>
        <row r="4087">
          <cell r="B4087">
            <v>37648</v>
          </cell>
          <cell r="C4087">
            <v>2924.73</v>
          </cell>
        </row>
        <row r="4088">
          <cell r="B4088">
            <v>37649</v>
          </cell>
          <cell r="C4088">
            <v>2948.3</v>
          </cell>
        </row>
        <row r="4089">
          <cell r="B4089">
            <v>37650</v>
          </cell>
          <cell r="C4089">
            <v>2965.6</v>
          </cell>
        </row>
        <row r="4090">
          <cell r="B4090">
            <v>37651</v>
          </cell>
          <cell r="C4090">
            <v>2950.71</v>
          </cell>
        </row>
        <row r="4091">
          <cell r="B4091">
            <v>37652</v>
          </cell>
          <cell r="C4091">
            <v>2926.46</v>
          </cell>
        </row>
        <row r="4092">
          <cell r="B4092">
            <v>37653</v>
          </cell>
          <cell r="C4092">
            <v>2940.26</v>
          </cell>
        </row>
        <row r="4093">
          <cell r="B4093">
            <v>37654</v>
          </cell>
          <cell r="C4093">
            <v>2940.26</v>
          </cell>
        </row>
        <row r="4094">
          <cell r="B4094">
            <v>37655</v>
          </cell>
          <cell r="C4094">
            <v>2940.26</v>
          </cell>
        </row>
        <row r="4095">
          <cell r="B4095">
            <v>37656</v>
          </cell>
          <cell r="C4095">
            <v>2957.4</v>
          </cell>
        </row>
        <row r="4096">
          <cell r="B4096">
            <v>37657</v>
          </cell>
          <cell r="C4096">
            <v>2966.78</v>
          </cell>
        </row>
        <row r="4097">
          <cell r="B4097">
            <v>37658</v>
          </cell>
          <cell r="C4097">
            <v>2961.29</v>
          </cell>
        </row>
        <row r="4098">
          <cell r="B4098">
            <v>37659</v>
          </cell>
          <cell r="C4098">
            <v>2963.28</v>
          </cell>
        </row>
        <row r="4099">
          <cell r="B4099">
            <v>37660</v>
          </cell>
          <cell r="C4099">
            <v>2954.03</v>
          </cell>
        </row>
        <row r="4100">
          <cell r="B4100">
            <v>37661</v>
          </cell>
          <cell r="C4100">
            <v>2954.03</v>
          </cell>
        </row>
        <row r="4101">
          <cell r="B4101">
            <v>37662</v>
          </cell>
          <cell r="C4101">
            <v>2954.03</v>
          </cell>
        </row>
        <row r="4102">
          <cell r="B4102">
            <v>37663</v>
          </cell>
          <cell r="C4102">
            <v>2968.88</v>
          </cell>
        </row>
        <row r="4103">
          <cell r="B4103">
            <v>37664</v>
          </cell>
          <cell r="C4103">
            <v>2963.21</v>
          </cell>
        </row>
        <row r="4104">
          <cell r="B4104">
            <v>37665</v>
          </cell>
          <cell r="C4104">
            <v>2960.77</v>
          </cell>
        </row>
        <row r="4105">
          <cell r="B4105">
            <v>37666</v>
          </cell>
          <cell r="C4105">
            <v>2959.75</v>
          </cell>
        </row>
        <row r="4106">
          <cell r="B4106">
            <v>37667</v>
          </cell>
          <cell r="C4106">
            <v>2954.76</v>
          </cell>
        </row>
        <row r="4107">
          <cell r="B4107">
            <v>37668</v>
          </cell>
          <cell r="C4107">
            <v>2954.76</v>
          </cell>
        </row>
        <row r="4108">
          <cell r="B4108">
            <v>37669</v>
          </cell>
          <cell r="C4108">
            <v>2954.76</v>
          </cell>
        </row>
        <row r="4109">
          <cell r="B4109">
            <v>37670</v>
          </cell>
          <cell r="C4109">
            <v>2934.58</v>
          </cell>
        </row>
        <row r="4110">
          <cell r="B4110">
            <v>37671</v>
          </cell>
          <cell r="C4110">
            <v>2929.64</v>
          </cell>
        </row>
        <row r="4111">
          <cell r="B4111">
            <v>37672</v>
          </cell>
          <cell r="C4111">
            <v>2937.44</v>
          </cell>
        </row>
        <row r="4112">
          <cell r="B4112">
            <v>37673</v>
          </cell>
          <cell r="C4112">
            <v>2938.23</v>
          </cell>
        </row>
        <row r="4113">
          <cell r="B4113">
            <v>37674</v>
          </cell>
          <cell r="C4113">
            <v>2939.92</v>
          </cell>
        </row>
        <row r="4114">
          <cell r="B4114">
            <v>37675</v>
          </cell>
          <cell r="C4114">
            <v>2939.92</v>
          </cell>
        </row>
        <row r="4115">
          <cell r="B4115">
            <v>37676</v>
          </cell>
          <cell r="C4115">
            <v>2939.92</v>
          </cell>
        </row>
        <row r="4116">
          <cell r="B4116">
            <v>37677</v>
          </cell>
          <cell r="C4116">
            <v>2949.05</v>
          </cell>
        </row>
        <row r="4117">
          <cell r="B4117">
            <v>37678</v>
          </cell>
          <cell r="C4117">
            <v>2951.81</v>
          </cell>
        </row>
        <row r="4118">
          <cell r="B4118">
            <v>37679</v>
          </cell>
          <cell r="C4118">
            <v>2949.85</v>
          </cell>
        </row>
        <row r="4119">
          <cell r="B4119">
            <v>37680</v>
          </cell>
          <cell r="C4119">
            <v>2956.31</v>
          </cell>
        </row>
        <row r="4120">
          <cell r="B4120">
            <v>37681</v>
          </cell>
          <cell r="C4120">
            <v>2957.87</v>
          </cell>
        </row>
        <row r="4121">
          <cell r="B4121">
            <v>37682</v>
          </cell>
          <cell r="C4121">
            <v>2957.87</v>
          </cell>
        </row>
        <row r="4122">
          <cell r="B4122">
            <v>37683</v>
          </cell>
          <cell r="C4122">
            <v>2957.87</v>
          </cell>
        </row>
        <row r="4123">
          <cell r="B4123">
            <v>37684</v>
          </cell>
          <cell r="C4123">
            <v>2959.97</v>
          </cell>
        </row>
        <row r="4124">
          <cell r="B4124">
            <v>37685</v>
          </cell>
          <cell r="C4124">
            <v>2962.06</v>
          </cell>
        </row>
        <row r="4125">
          <cell r="B4125">
            <v>37686</v>
          </cell>
          <cell r="C4125">
            <v>2960.77</v>
          </cell>
        </row>
        <row r="4126">
          <cell r="B4126">
            <v>37687</v>
          </cell>
          <cell r="C4126">
            <v>2960.11</v>
          </cell>
        </row>
        <row r="4127">
          <cell r="B4127">
            <v>37688</v>
          </cell>
          <cell r="C4127">
            <v>2959.75</v>
          </cell>
        </row>
        <row r="4128">
          <cell r="B4128">
            <v>37689</v>
          </cell>
          <cell r="C4128">
            <v>2959.75</v>
          </cell>
        </row>
        <row r="4129">
          <cell r="B4129">
            <v>37690</v>
          </cell>
          <cell r="C4129">
            <v>2959.75</v>
          </cell>
        </row>
        <row r="4130">
          <cell r="B4130">
            <v>37691</v>
          </cell>
          <cell r="C4130">
            <v>2961.93</v>
          </cell>
        </row>
        <row r="4131">
          <cell r="B4131">
            <v>37692</v>
          </cell>
          <cell r="C4131">
            <v>2962.76</v>
          </cell>
        </row>
        <row r="4132">
          <cell r="B4132">
            <v>37693</v>
          </cell>
          <cell r="C4132">
            <v>2961.99</v>
          </cell>
        </row>
        <row r="4133">
          <cell r="B4133">
            <v>37694</v>
          </cell>
          <cell r="C4133">
            <v>2959.39</v>
          </cell>
        </row>
        <row r="4134">
          <cell r="B4134">
            <v>37695</v>
          </cell>
          <cell r="C4134">
            <v>2958.86</v>
          </cell>
        </row>
        <row r="4135">
          <cell r="B4135">
            <v>37696</v>
          </cell>
          <cell r="C4135">
            <v>2958.86</v>
          </cell>
        </row>
        <row r="4136">
          <cell r="B4136">
            <v>37697</v>
          </cell>
          <cell r="C4136">
            <v>2958.86</v>
          </cell>
        </row>
        <row r="4137">
          <cell r="B4137">
            <v>37698</v>
          </cell>
          <cell r="C4137">
            <v>2956.47</v>
          </cell>
        </row>
        <row r="4138">
          <cell r="B4138">
            <v>37699</v>
          </cell>
          <cell r="C4138">
            <v>2955.84</v>
          </cell>
        </row>
        <row r="4139">
          <cell r="B4139">
            <v>37700</v>
          </cell>
          <cell r="C4139">
            <v>2955.64</v>
          </cell>
        </row>
        <row r="4140">
          <cell r="B4140">
            <v>37701</v>
          </cell>
          <cell r="C4140">
            <v>2954.62</v>
          </cell>
        </row>
        <row r="4141">
          <cell r="B4141">
            <v>37702</v>
          </cell>
          <cell r="C4141">
            <v>2956.06</v>
          </cell>
        </row>
        <row r="4142">
          <cell r="B4142">
            <v>37703</v>
          </cell>
          <cell r="C4142">
            <v>2956.06</v>
          </cell>
        </row>
        <row r="4143">
          <cell r="B4143">
            <v>37704</v>
          </cell>
          <cell r="C4143">
            <v>2956.06</v>
          </cell>
        </row>
        <row r="4144">
          <cell r="B4144">
            <v>37705</v>
          </cell>
          <cell r="C4144">
            <v>2956.06</v>
          </cell>
        </row>
        <row r="4145">
          <cell r="B4145">
            <v>37706</v>
          </cell>
          <cell r="C4145">
            <v>2959.26</v>
          </cell>
        </row>
        <row r="4146">
          <cell r="B4146">
            <v>37707</v>
          </cell>
          <cell r="C4146">
            <v>2959.84</v>
          </cell>
        </row>
        <row r="4147">
          <cell r="B4147">
            <v>37708</v>
          </cell>
          <cell r="C4147">
            <v>2958.73</v>
          </cell>
        </row>
        <row r="4148">
          <cell r="B4148">
            <v>37709</v>
          </cell>
          <cell r="C4148">
            <v>2958.25</v>
          </cell>
        </row>
        <row r="4149">
          <cell r="B4149">
            <v>37710</v>
          </cell>
          <cell r="C4149">
            <v>2958.25</v>
          </cell>
        </row>
        <row r="4150">
          <cell r="B4150">
            <v>37711</v>
          </cell>
          <cell r="C4150">
            <v>2958.25</v>
          </cell>
        </row>
        <row r="4151">
          <cell r="B4151">
            <v>37712</v>
          </cell>
          <cell r="C4151">
            <v>2958.15</v>
          </cell>
        </row>
        <row r="4152">
          <cell r="B4152">
            <v>37713</v>
          </cell>
          <cell r="C4152">
            <v>2958.56</v>
          </cell>
        </row>
        <row r="4153">
          <cell r="B4153">
            <v>37714</v>
          </cell>
          <cell r="C4153">
            <v>2956.5</v>
          </cell>
        </row>
        <row r="4154">
          <cell r="B4154">
            <v>37715</v>
          </cell>
          <cell r="C4154">
            <v>2951.14</v>
          </cell>
        </row>
        <row r="4155">
          <cell r="B4155">
            <v>37716</v>
          </cell>
          <cell r="C4155">
            <v>2946.79</v>
          </cell>
        </row>
        <row r="4156">
          <cell r="B4156">
            <v>37717</v>
          </cell>
          <cell r="C4156">
            <v>2946.79</v>
          </cell>
        </row>
        <row r="4157">
          <cell r="B4157">
            <v>37718</v>
          </cell>
          <cell r="C4157">
            <v>2946.79</v>
          </cell>
        </row>
        <row r="4158">
          <cell r="B4158">
            <v>37719</v>
          </cell>
          <cell r="C4158">
            <v>2942.41</v>
          </cell>
        </row>
        <row r="4159">
          <cell r="B4159">
            <v>37720</v>
          </cell>
          <cell r="C4159">
            <v>2938.32</v>
          </cell>
        </row>
        <row r="4160">
          <cell r="B4160">
            <v>37721</v>
          </cell>
          <cell r="C4160">
            <v>2920.4</v>
          </cell>
        </row>
        <row r="4161">
          <cell r="B4161">
            <v>37722</v>
          </cell>
          <cell r="C4161">
            <v>2911.74</v>
          </cell>
        </row>
        <row r="4162">
          <cell r="B4162">
            <v>37723</v>
          </cell>
          <cell r="C4162">
            <v>2923.07</v>
          </cell>
        </row>
        <row r="4163">
          <cell r="B4163">
            <v>37724</v>
          </cell>
          <cell r="C4163">
            <v>2923.07</v>
          </cell>
        </row>
        <row r="4164">
          <cell r="B4164">
            <v>37725</v>
          </cell>
          <cell r="C4164">
            <v>2923.07</v>
          </cell>
        </row>
        <row r="4165">
          <cell r="B4165">
            <v>37726</v>
          </cell>
          <cell r="C4165">
            <v>2931.69</v>
          </cell>
        </row>
        <row r="4166">
          <cell r="B4166">
            <v>37727</v>
          </cell>
          <cell r="C4166">
            <v>2919.58</v>
          </cell>
        </row>
        <row r="4167">
          <cell r="B4167">
            <v>37728</v>
          </cell>
          <cell r="C4167">
            <v>2918.01</v>
          </cell>
        </row>
        <row r="4168">
          <cell r="B4168">
            <v>37729</v>
          </cell>
          <cell r="C4168">
            <v>2918.01</v>
          </cell>
        </row>
        <row r="4169">
          <cell r="B4169">
            <v>37730</v>
          </cell>
          <cell r="C4169">
            <v>2918.01</v>
          </cell>
        </row>
        <row r="4170">
          <cell r="B4170">
            <v>37731</v>
          </cell>
          <cell r="C4170">
            <v>2918.01</v>
          </cell>
        </row>
        <row r="4171">
          <cell r="B4171">
            <v>37732</v>
          </cell>
          <cell r="C4171">
            <v>2918.01</v>
          </cell>
        </row>
        <row r="4172">
          <cell r="B4172">
            <v>37733</v>
          </cell>
          <cell r="C4172">
            <v>2920.04</v>
          </cell>
        </row>
        <row r="4173">
          <cell r="B4173">
            <v>37734</v>
          </cell>
          <cell r="C4173">
            <v>2916.03</v>
          </cell>
        </row>
        <row r="4174">
          <cell r="B4174">
            <v>37735</v>
          </cell>
          <cell r="C4174">
            <v>2911</v>
          </cell>
        </row>
        <row r="4175">
          <cell r="B4175">
            <v>37736</v>
          </cell>
          <cell r="C4175">
            <v>2908.25</v>
          </cell>
        </row>
        <row r="4176">
          <cell r="B4176">
            <v>37737</v>
          </cell>
          <cell r="C4176">
            <v>2912.83</v>
          </cell>
        </row>
        <row r="4177">
          <cell r="B4177">
            <v>37738</v>
          </cell>
          <cell r="C4177">
            <v>2912.83</v>
          </cell>
        </row>
        <row r="4178">
          <cell r="B4178">
            <v>37739</v>
          </cell>
          <cell r="C4178">
            <v>2912.83</v>
          </cell>
        </row>
        <row r="4179">
          <cell r="B4179">
            <v>37740</v>
          </cell>
          <cell r="C4179">
            <v>2900</v>
          </cell>
        </row>
        <row r="4180">
          <cell r="B4180">
            <v>37741</v>
          </cell>
          <cell r="C4180">
            <v>2887.82</v>
          </cell>
        </row>
        <row r="4181">
          <cell r="B4181">
            <v>37742</v>
          </cell>
          <cell r="C4181">
            <v>2868.43</v>
          </cell>
        </row>
        <row r="4182">
          <cell r="B4182">
            <v>37743</v>
          </cell>
          <cell r="C4182">
            <v>2868.43</v>
          </cell>
        </row>
        <row r="4183">
          <cell r="B4183">
            <v>37744</v>
          </cell>
          <cell r="C4183">
            <v>2865.94</v>
          </cell>
        </row>
        <row r="4184">
          <cell r="B4184">
            <v>37745</v>
          </cell>
          <cell r="C4184">
            <v>2865.94</v>
          </cell>
        </row>
        <row r="4185">
          <cell r="B4185">
            <v>37746</v>
          </cell>
          <cell r="C4185">
            <v>2865.94</v>
          </cell>
        </row>
        <row r="4186">
          <cell r="B4186">
            <v>37747</v>
          </cell>
          <cell r="C4186">
            <v>2858.37</v>
          </cell>
        </row>
        <row r="4187">
          <cell r="B4187">
            <v>37748</v>
          </cell>
          <cell r="C4187">
            <v>2856.98</v>
          </cell>
        </row>
        <row r="4188">
          <cell r="B4188">
            <v>37749</v>
          </cell>
          <cell r="C4188">
            <v>2866.06</v>
          </cell>
        </row>
        <row r="4189">
          <cell r="B4189">
            <v>37750</v>
          </cell>
          <cell r="C4189">
            <v>2848.41</v>
          </cell>
        </row>
        <row r="4190">
          <cell r="B4190">
            <v>37751</v>
          </cell>
          <cell r="C4190">
            <v>2840.04</v>
          </cell>
        </row>
        <row r="4191">
          <cell r="B4191">
            <v>37752</v>
          </cell>
          <cell r="C4191">
            <v>2840.04</v>
          </cell>
        </row>
        <row r="4192">
          <cell r="B4192">
            <v>37753</v>
          </cell>
          <cell r="C4192">
            <v>2840.04</v>
          </cell>
        </row>
        <row r="4193">
          <cell r="B4193">
            <v>37754</v>
          </cell>
          <cell r="C4193">
            <v>2833.86</v>
          </cell>
        </row>
        <row r="4194">
          <cell r="B4194">
            <v>37755</v>
          </cell>
          <cell r="C4194">
            <v>2813.6</v>
          </cell>
        </row>
        <row r="4195">
          <cell r="B4195">
            <v>37756</v>
          </cell>
          <cell r="C4195">
            <v>2821.08</v>
          </cell>
        </row>
        <row r="4196">
          <cell r="B4196">
            <v>37757</v>
          </cell>
          <cell r="C4196">
            <v>2827.99</v>
          </cell>
        </row>
        <row r="4197">
          <cell r="B4197">
            <v>37758</v>
          </cell>
          <cell r="C4197">
            <v>2816.46</v>
          </cell>
        </row>
        <row r="4198">
          <cell r="B4198">
            <v>37759</v>
          </cell>
          <cell r="C4198">
            <v>2816.46</v>
          </cell>
        </row>
        <row r="4199">
          <cell r="B4199">
            <v>37760</v>
          </cell>
          <cell r="C4199">
            <v>2816.46</v>
          </cell>
        </row>
        <row r="4200">
          <cell r="B4200">
            <v>37761</v>
          </cell>
          <cell r="C4200">
            <v>2874.77</v>
          </cell>
        </row>
        <row r="4201">
          <cell r="B4201">
            <v>37762</v>
          </cell>
          <cell r="C4201">
            <v>2909.83</v>
          </cell>
        </row>
        <row r="4202">
          <cell r="B4202">
            <v>37763</v>
          </cell>
          <cell r="C4202">
            <v>2912.46</v>
          </cell>
        </row>
        <row r="4203">
          <cell r="B4203">
            <v>37764</v>
          </cell>
          <cell r="C4203">
            <v>2905.91</v>
          </cell>
        </row>
        <row r="4204">
          <cell r="B4204">
            <v>37765</v>
          </cell>
          <cell r="C4204">
            <v>2868.37</v>
          </cell>
        </row>
        <row r="4205">
          <cell r="B4205">
            <v>37766</v>
          </cell>
          <cell r="C4205">
            <v>2868.37</v>
          </cell>
        </row>
        <row r="4206">
          <cell r="B4206">
            <v>37767</v>
          </cell>
          <cell r="C4206">
            <v>2868.37</v>
          </cell>
        </row>
        <row r="4207">
          <cell r="B4207">
            <v>37768</v>
          </cell>
          <cell r="C4207">
            <v>2868.37</v>
          </cell>
        </row>
        <row r="4208">
          <cell r="B4208">
            <v>37769</v>
          </cell>
          <cell r="C4208">
            <v>2850.03</v>
          </cell>
        </row>
        <row r="4209">
          <cell r="B4209">
            <v>37770</v>
          </cell>
          <cell r="C4209">
            <v>2874.91</v>
          </cell>
        </row>
        <row r="4210">
          <cell r="B4210">
            <v>37771</v>
          </cell>
          <cell r="C4210">
            <v>2855.88</v>
          </cell>
        </row>
        <row r="4211">
          <cell r="B4211">
            <v>37772</v>
          </cell>
          <cell r="C4211">
            <v>2853.33</v>
          </cell>
        </row>
        <row r="4212">
          <cell r="B4212">
            <v>37773</v>
          </cell>
          <cell r="C4212">
            <v>2853.33</v>
          </cell>
        </row>
        <row r="4213">
          <cell r="B4213">
            <v>37774</v>
          </cell>
          <cell r="C4213">
            <v>2853.33</v>
          </cell>
        </row>
        <row r="4214">
          <cell r="B4214">
            <v>37775</v>
          </cell>
          <cell r="C4214">
            <v>2853.33</v>
          </cell>
        </row>
        <row r="4215">
          <cell r="B4215">
            <v>37776</v>
          </cell>
          <cell r="C4215">
            <v>2846.16</v>
          </cell>
        </row>
        <row r="4216">
          <cell r="B4216">
            <v>37777</v>
          </cell>
          <cell r="C4216">
            <v>2849.71</v>
          </cell>
        </row>
        <row r="4217">
          <cell r="B4217">
            <v>37778</v>
          </cell>
          <cell r="C4217">
            <v>2839.21</v>
          </cell>
        </row>
        <row r="4218">
          <cell r="B4218">
            <v>37779</v>
          </cell>
          <cell r="C4218">
            <v>2828.2</v>
          </cell>
        </row>
        <row r="4219">
          <cell r="B4219">
            <v>37780</v>
          </cell>
          <cell r="C4219">
            <v>2828.2</v>
          </cell>
        </row>
        <row r="4220">
          <cell r="B4220">
            <v>37781</v>
          </cell>
          <cell r="C4220">
            <v>2828.2</v>
          </cell>
        </row>
        <row r="4221">
          <cell r="B4221">
            <v>37782</v>
          </cell>
          <cell r="C4221">
            <v>2818.5</v>
          </cell>
        </row>
        <row r="4222">
          <cell r="B4222">
            <v>37783</v>
          </cell>
          <cell r="C4222">
            <v>2809.63</v>
          </cell>
        </row>
        <row r="4223">
          <cell r="B4223">
            <v>37784</v>
          </cell>
          <cell r="C4223">
            <v>2821.27</v>
          </cell>
        </row>
        <row r="4224">
          <cell r="B4224">
            <v>37785</v>
          </cell>
          <cell r="C4224">
            <v>2832.2</v>
          </cell>
        </row>
        <row r="4225">
          <cell r="B4225">
            <v>37786</v>
          </cell>
          <cell r="C4225">
            <v>2821.61</v>
          </cell>
        </row>
        <row r="4226">
          <cell r="B4226">
            <v>37787</v>
          </cell>
          <cell r="C4226">
            <v>2821.61</v>
          </cell>
        </row>
        <row r="4227">
          <cell r="B4227">
            <v>37788</v>
          </cell>
          <cell r="C4227">
            <v>2821.61</v>
          </cell>
        </row>
        <row r="4228">
          <cell r="B4228">
            <v>37789</v>
          </cell>
          <cell r="C4228">
            <v>2818.62</v>
          </cell>
        </row>
        <row r="4229">
          <cell r="B4229">
            <v>37790</v>
          </cell>
          <cell r="C4229">
            <v>2828.96</v>
          </cell>
        </row>
        <row r="4230">
          <cell r="B4230">
            <v>37791</v>
          </cell>
          <cell r="C4230">
            <v>2829.42</v>
          </cell>
        </row>
        <row r="4231">
          <cell r="B4231">
            <v>37792</v>
          </cell>
          <cell r="C4231">
            <v>2827.4</v>
          </cell>
        </row>
        <row r="4232">
          <cell r="B4232">
            <v>37793</v>
          </cell>
          <cell r="C4232">
            <v>2826.36</v>
          </cell>
        </row>
        <row r="4233">
          <cell r="B4233">
            <v>37794</v>
          </cell>
          <cell r="C4233">
            <v>2826.36</v>
          </cell>
        </row>
        <row r="4234">
          <cell r="B4234">
            <v>37795</v>
          </cell>
          <cell r="C4234">
            <v>2826.36</v>
          </cell>
        </row>
        <row r="4235">
          <cell r="B4235">
            <v>37796</v>
          </cell>
          <cell r="C4235">
            <v>2826.36</v>
          </cell>
        </row>
        <row r="4236">
          <cell r="B4236">
            <v>37797</v>
          </cell>
          <cell r="C4236">
            <v>2815.26</v>
          </cell>
        </row>
        <row r="4237">
          <cell r="B4237">
            <v>37798</v>
          </cell>
          <cell r="C4237">
            <v>2806.96</v>
          </cell>
        </row>
        <row r="4238">
          <cell r="B4238">
            <v>37799</v>
          </cell>
          <cell r="C4238">
            <v>2812.28</v>
          </cell>
        </row>
        <row r="4239">
          <cell r="B4239">
            <v>37800</v>
          </cell>
          <cell r="C4239">
            <v>2817.32</v>
          </cell>
        </row>
        <row r="4240">
          <cell r="B4240">
            <v>37801</v>
          </cell>
          <cell r="C4240">
            <v>2817.32</v>
          </cell>
        </row>
        <row r="4241">
          <cell r="B4241">
            <v>37802</v>
          </cell>
          <cell r="C4241">
            <v>2817.32</v>
          </cell>
        </row>
        <row r="4242">
          <cell r="B4242">
            <v>37803</v>
          </cell>
          <cell r="C4242">
            <v>2817.32</v>
          </cell>
        </row>
        <row r="4243">
          <cell r="B4243">
            <v>37804</v>
          </cell>
          <cell r="C4243">
            <v>2817.63</v>
          </cell>
        </row>
        <row r="4244">
          <cell r="B4244">
            <v>37805</v>
          </cell>
          <cell r="C4244">
            <v>2812.4</v>
          </cell>
        </row>
        <row r="4245">
          <cell r="B4245">
            <v>37806</v>
          </cell>
          <cell r="C4245">
            <v>2815.14</v>
          </cell>
        </row>
        <row r="4246">
          <cell r="B4246">
            <v>37807</v>
          </cell>
          <cell r="C4246">
            <v>2815.14</v>
          </cell>
        </row>
        <row r="4247">
          <cell r="B4247">
            <v>37808</v>
          </cell>
          <cell r="C4247">
            <v>2815.14</v>
          </cell>
        </row>
        <row r="4248">
          <cell r="B4248">
            <v>37809</v>
          </cell>
          <cell r="C4248">
            <v>2815.14</v>
          </cell>
        </row>
        <row r="4249">
          <cell r="B4249">
            <v>37810</v>
          </cell>
          <cell r="C4249">
            <v>2820.85</v>
          </cell>
        </row>
        <row r="4250">
          <cell r="B4250">
            <v>37811</v>
          </cell>
          <cell r="C4250">
            <v>2838.88</v>
          </cell>
        </row>
        <row r="4251">
          <cell r="B4251">
            <v>37812</v>
          </cell>
          <cell r="C4251">
            <v>2846.89</v>
          </cell>
        </row>
        <row r="4252">
          <cell r="B4252">
            <v>37813</v>
          </cell>
          <cell r="C4252">
            <v>2855.41</v>
          </cell>
        </row>
        <row r="4253">
          <cell r="B4253">
            <v>37814</v>
          </cell>
          <cell r="C4253">
            <v>2856.96</v>
          </cell>
        </row>
        <row r="4254">
          <cell r="B4254">
            <v>37815</v>
          </cell>
          <cell r="C4254">
            <v>2856.96</v>
          </cell>
        </row>
        <row r="4255">
          <cell r="B4255">
            <v>37816</v>
          </cell>
          <cell r="C4255">
            <v>2856.96</v>
          </cell>
        </row>
        <row r="4256">
          <cell r="B4256">
            <v>37817</v>
          </cell>
          <cell r="C4256">
            <v>2871.88</v>
          </cell>
        </row>
        <row r="4257">
          <cell r="B4257">
            <v>37818</v>
          </cell>
          <cell r="C4257">
            <v>2879.37</v>
          </cell>
        </row>
        <row r="4258">
          <cell r="B4258">
            <v>37819</v>
          </cell>
          <cell r="C4258">
            <v>2888.57</v>
          </cell>
        </row>
        <row r="4259">
          <cell r="B4259">
            <v>37820</v>
          </cell>
          <cell r="C4259">
            <v>2883.9</v>
          </cell>
        </row>
        <row r="4260">
          <cell r="B4260">
            <v>37821</v>
          </cell>
          <cell r="C4260">
            <v>2880.69</v>
          </cell>
        </row>
        <row r="4261">
          <cell r="B4261">
            <v>37822</v>
          </cell>
          <cell r="C4261">
            <v>2880.69</v>
          </cell>
        </row>
        <row r="4262">
          <cell r="B4262">
            <v>37823</v>
          </cell>
          <cell r="C4262">
            <v>2880.69</v>
          </cell>
        </row>
        <row r="4263">
          <cell r="B4263">
            <v>37824</v>
          </cell>
          <cell r="C4263">
            <v>2878.33</v>
          </cell>
        </row>
        <row r="4264">
          <cell r="B4264">
            <v>37825</v>
          </cell>
          <cell r="C4264">
            <v>2878.56</v>
          </cell>
        </row>
        <row r="4265">
          <cell r="B4265">
            <v>37826</v>
          </cell>
          <cell r="C4265">
            <v>2882.7</v>
          </cell>
        </row>
        <row r="4266">
          <cell r="B4266">
            <v>37827</v>
          </cell>
          <cell r="C4266">
            <v>2887.31</v>
          </cell>
        </row>
        <row r="4267">
          <cell r="B4267">
            <v>37828</v>
          </cell>
          <cell r="C4267">
            <v>2888.32</v>
          </cell>
        </row>
        <row r="4268">
          <cell r="B4268">
            <v>37829</v>
          </cell>
          <cell r="C4268">
            <v>2888.32</v>
          </cell>
        </row>
        <row r="4269">
          <cell r="B4269">
            <v>37830</v>
          </cell>
          <cell r="C4269">
            <v>2888.32</v>
          </cell>
        </row>
        <row r="4270">
          <cell r="B4270">
            <v>37831</v>
          </cell>
          <cell r="C4270">
            <v>2883.15</v>
          </cell>
        </row>
        <row r="4271">
          <cell r="B4271">
            <v>37832</v>
          </cell>
          <cell r="C4271">
            <v>2873.17</v>
          </cell>
        </row>
        <row r="4272">
          <cell r="B4272">
            <v>37833</v>
          </cell>
          <cell r="C4272">
            <v>2880.4</v>
          </cell>
        </row>
        <row r="4273">
          <cell r="B4273">
            <v>37834</v>
          </cell>
          <cell r="C4273">
            <v>2879.6</v>
          </cell>
        </row>
        <row r="4274">
          <cell r="B4274">
            <v>37835</v>
          </cell>
          <cell r="C4274">
            <v>2886.87</v>
          </cell>
        </row>
        <row r="4275">
          <cell r="B4275">
            <v>37836</v>
          </cell>
          <cell r="C4275">
            <v>2886.87</v>
          </cell>
        </row>
        <row r="4276">
          <cell r="B4276">
            <v>37837</v>
          </cell>
          <cell r="C4276">
            <v>2886.87</v>
          </cell>
        </row>
        <row r="4277">
          <cell r="B4277">
            <v>37838</v>
          </cell>
          <cell r="C4277">
            <v>2894.58</v>
          </cell>
        </row>
        <row r="4278">
          <cell r="B4278">
            <v>37839</v>
          </cell>
          <cell r="C4278">
            <v>2901.09</v>
          </cell>
        </row>
        <row r="4279">
          <cell r="B4279">
            <v>37840</v>
          </cell>
          <cell r="C4279">
            <v>2887.05</v>
          </cell>
        </row>
        <row r="4280">
          <cell r="B4280">
            <v>37841</v>
          </cell>
          <cell r="C4280">
            <v>2887.05</v>
          </cell>
        </row>
        <row r="4281">
          <cell r="B4281">
            <v>37842</v>
          </cell>
          <cell r="C4281">
            <v>2875.18</v>
          </cell>
        </row>
        <row r="4282">
          <cell r="B4282">
            <v>37843</v>
          </cell>
          <cell r="C4282">
            <v>2875.18</v>
          </cell>
        </row>
        <row r="4283">
          <cell r="B4283">
            <v>37844</v>
          </cell>
          <cell r="C4283">
            <v>2875.18</v>
          </cell>
        </row>
        <row r="4284">
          <cell r="B4284">
            <v>37845</v>
          </cell>
          <cell r="C4284">
            <v>2873.51</v>
          </cell>
        </row>
        <row r="4285">
          <cell r="B4285">
            <v>37846</v>
          </cell>
          <cell r="C4285">
            <v>2868.5</v>
          </cell>
        </row>
        <row r="4286">
          <cell r="B4286">
            <v>37847</v>
          </cell>
          <cell r="C4286">
            <v>2870.67</v>
          </cell>
        </row>
        <row r="4287">
          <cell r="B4287">
            <v>37848</v>
          </cell>
          <cell r="C4287">
            <v>2864.81</v>
          </cell>
        </row>
        <row r="4288">
          <cell r="B4288">
            <v>37849</v>
          </cell>
          <cell r="C4288">
            <v>2861.34</v>
          </cell>
        </row>
        <row r="4289">
          <cell r="B4289">
            <v>37850</v>
          </cell>
          <cell r="C4289">
            <v>2861.34</v>
          </cell>
        </row>
        <row r="4290">
          <cell r="B4290">
            <v>37851</v>
          </cell>
          <cell r="C4290">
            <v>2861.34</v>
          </cell>
        </row>
        <row r="4291">
          <cell r="B4291">
            <v>37852</v>
          </cell>
          <cell r="C4291">
            <v>2861.34</v>
          </cell>
        </row>
        <row r="4292">
          <cell r="B4292">
            <v>37853</v>
          </cell>
          <cell r="C4292">
            <v>2869.29</v>
          </cell>
        </row>
        <row r="4293">
          <cell r="B4293">
            <v>37854</v>
          </cell>
          <cell r="C4293">
            <v>2861.63</v>
          </cell>
        </row>
        <row r="4294">
          <cell r="B4294">
            <v>37855</v>
          </cell>
          <cell r="C4294">
            <v>2853.56</v>
          </cell>
        </row>
        <row r="4295">
          <cell r="B4295">
            <v>37856</v>
          </cell>
          <cell r="C4295">
            <v>2841.25</v>
          </cell>
        </row>
        <row r="4296">
          <cell r="B4296">
            <v>37857</v>
          </cell>
          <cell r="C4296">
            <v>2841.25</v>
          </cell>
        </row>
        <row r="4297">
          <cell r="B4297">
            <v>37858</v>
          </cell>
          <cell r="C4297">
            <v>2841.25</v>
          </cell>
        </row>
        <row r="4298">
          <cell r="B4298">
            <v>37859</v>
          </cell>
          <cell r="C4298">
            <v>2843.66</v>
          </cell>
        </row>
        <row r="4299">
          <cell r="B4299">
            <v>37860</v>
          </cell>
          <cell r="C4299">
            <v>2848.86</v>
          </cell>
        </row>
        <row r="4300">
          <cell r="B4300">
            <v>37861</v>
          </cell>
          <cell r="C4300">
            <v>2850.89</v>
          </cell>
        </row>
        <row r="4301">
          <cell r="B4301">
            <v>37862</v>
          </cell>
          <cell r="C4301">
            <v>2846.26</v>
          </cell>
        </row>
        <row r="4302">
          <cell r="B4302">
            <v>37863</v>
          </cell>
          <cell r="C4302">
            <v>2832.94</v>
          </cell>
        </row>
        <row r="4303">
          <cell r="B4303">
            <v>37864</v>
          </cell>
          <cell r="C4303">
            <v>2832.94</v>
          </cell>
        </row>
        <row r="4304">
          <cell r="B4304">
            <v>37865</v>
          </cell>
          <cell r="C4304">
            <v>2832.94</v>
          </cell>
        </row>
        <row r="4305">
          <cell r="B4305">
            <v>37866</v>
          </cell>
          <cell r="C4305">
            <v>2832.94</v>
          </cell>
        </row>
        <row r="4306">
          <cell r="B4306">
            <v>37867</v>
          </cell>
          <cell r="C4306">
            <v>2841.02</v>
          </cell>
        </row>
        <row r="4307">
          <cell r="B4307">
            <v>37868</v>
          </cell>
          <cell r="C4307">
            <v>2826.46</v>
          </cell>
        </row>
        <row r="4308">
          <cell r="B4308">
            <v>37869</v>
          </cell>
          <cell r="C4308">
            <v>2816.74</v>
          </cell>
        </row>
        <row r="4309">
          <cell r="B4309">
            <v>37870</v>
          </cell>
          <cell r="C4309">
            <v>2820.46</v>
          </cell>
        </row>
        <row r="4310">
          <cell r="B4310">
            <v>37871</v>
          </cell>
          <cell r="C4310">
            <v>2820.46</v>
          </cell>
        </row>
        <row r="4311">
          <cell r="B4311">
            <v>37872</v>
          </cell>
          <cell r="C4311">
            <v>2820.46</v>
          </cell>
        </row>
        <row r="4312">
          <cell r="B4312">
            <v>37873</v>
          </cell>
          <cell r="C4312">
            <v>2822.85</v>
          </cell>
        </row>
        <row r="4313">
          <cell r="B4313">
            <v>37874</v>
          </cell>
          <cell r="C4313">
            <v>2820.2</v>
          </cell>
        </row>
        <row r="4314">
          <cell r="B4314">
            <v>37875</v>
          </cell>
          <cell r="C4314">
            <v>2825.28</v>
          </cell>
        </row>
        <row r="4315">
          <cell r="B4315">
            <v>37876</v>
          </cell>
          <cell r="C4315">
            <v>2829.82</v>
          </cell>
        </row>
        <row r="4316">
          <cell r="B4316">
            <v>37877</v>
          </cell>
          <cell r="C4316">
            <v>2824.88</v>
          </cell>
        </row>
        <row r="4317">
          <cell r="B4317">
            <v>37878</v>
          </cell>
          <cell r="C4317">
            <v>2824.88</v>
          </cell>
        </row>
        <row r="4318">
          <cell r="B4318">
            <v>37879</v>
          </cell>
          <cell r="C4318">
            <v>2824.88</v>
          </cell>
        </row>
        <row r="4319">
          <cell r="B4319">
            <v>37880</v>
          </cell>
          <cell r="C4319">
            <v>2824.53</v>
          </cell>
        </row>
        <row r="4320">
          <cell r="B4320">
            <v>37881</v>
          </cell>
          <cell r="C4320">
            <v>2823.79</v>
          </cell>
        </row>
        <row r="4321">
          <cell r="B4321">
            <v>37882</v>
          </cell>
          <cell r="C4321">
            <v>2823.28</v>
          </cell>
        </row>
        <row r="4322">
          <cell r="B4322">
            <v>37883</v>
          </cell>
          <cell r="C4322">
            <v>2833.64</v>
          </cell>
        </row>
        <row r="4323">
          <cell r="B4323">
            <v>37884</v>
          </cell>
          <cell r="C4323">
            <v>2844.64</v>
          </cell>
        </row>
        <row r="4324">
          <cell r="B4324">
            <v>37885</v>
          </cell>
          <cell r="C4324">
            <v>2844.64</v>
          </cell>
        </row>
        <row r="4325">
          <cell r="B4325">
            <v>37886</v>
          </cell>
          <cell r="C4325">
            <v>2844.64</v>
          </cell>
        </row>
        <row r="4326">
          <cell r="B4326">
            <v>37887</v>
          </cell>
          <cell r="C4326">
            <v>2859.37</v>
          </cell>
        </row>
        <row r="4327">
          <cell r="B4327">
            <v>37888</v>
          </cell>
          <cell r="C4327">
            <v>2866.42</v>
          </cell>
        </row>
        <row r="4328">
          <cell r="B4328">
            <v>37889</v>
          </cell>
          <cell r="C4328">
            <v>2872.3</v>
          </cell>
        </row>
        <row r="4329">
          <cell r="B4329">
            <v>37890</v>
          </cell>
          <cell r="C4329">
            <v>2871.39</v>
          </cell>
        </row>
        <row r="4330">
          <cell r="B4330">
            <v>37891</v>
          </cell>
          <cell r="C4330">
            <v>2879.32</v>
          </cell>
        </row>
        <row r="4331">
          <cell r="B4331">
            <v>37892</v>
          </cell>
          <cell r="C4331">
            <v>2879.32</v>
          </cell>
        </row>
        <row r="4332">
          <cell r="B4332">
            <v>37893</v>
          </cell>
          <cell r="C4332">
            <v>2879.32</v>
          </cell>
        </row>
        <row r="4333">
          <cell r="B4333">
            <v>37894</v>
          </cell>
          <cell r="C4333">
            <v>2889.39</v>
          </cell>
        </row>
        <row r="4334">
          <cell r="B4334">
            <v>37895</v>
          </cell>
          <cell r="C4334">
            <v>2888.21</v>
          </cell>
        </row>
        <row r="4335">
          <cell r="B4335">
            <v>37896</v>
          </cell>
          <cell r="C4335">
            <v>2907.41</v>
          </cell>
        </row>
        <row r="4336">
          <cell r="B4336">
            <v>37897</v>
          </cell>
          <cell r="C4336">
            <v>2905.12</v>
          </cell>
        </row>
        <row r="4337">
          <cell r="B4337">
            <v>37898</v>
          </cell>
          <cell r="C4337">
            <v>2881.88</v>
          </cell>
        </row>
        <row r="4338">
          <cell r="B4338">
            <v>37899</v>
          </cell>
          <cell r="C4338">
            <v>2881.88</v>
          </cell>
        </row>
        <row r="4339">
          <cell r="B4339">
            <v>37900</v>
          </cell>
          <cell r="C4339">
            <v>2881.88</v>
          </cell>
        </row>
        <row r="4340">
          <cell r="B4340">
            <v>37901</v>
          </cell>
          <cell r="C4340">
            <v>2872.7</v>
          </cell>
        </row>
        <row r="4341">
          <cell r="B4341">
            <v>37902</v>
          </cell>
          <cell r="C4341">
            <v>2868.91</v>
          </cell>
        </row>
        <row r="4342">
          <cell r="B4342">
            <v>37903</v>
          </cell>
          <cell r="C4342">
            <v>2887.59</v>
          </cell>
        </row>
        <row r="4343">
          <cell r="B4343">
            <v>37904</v>
          </cell>
          <cell r="C4343">
            <v>2878.39</v>
          </cell>
        </row>
        <row r="4344">
          <cell r="B4344">
            <v>37905</v>
          </cell>
          <cell r="C4344">
            <v>2868.85</v>
          </cell>
        </row>
        <row r="4345">
          <cell r="B4345">
            <v>37906</v>
          </cell>
          <cell r="C4345">
            <v>2868.85</v>
          </cell>
        </row>
        <row r="4346">
          <cell r="B4346">
            <v>37907</v>
          </cell>
          <cell r="C4346">
            <v>2868.85</v>
          </cell>
        </row>
        <row r="4347">
          <cell r="B4347">
            <v>37908</v>
          </cell>
          <cell r="C4347">
            <v>2868.85</v>
          </cell>
        </row>
        <row r="4348">
          <cell r="B4348">
            <v>37909</v>
          </cell>
          <cell r="C4348">
            <v>2865.32</v>
          </cell>
        </row>
        <row r="4349">
          <cell r="B4349">
            <v>37910</v>
          </cell>
          <cell r="C4349">
            <v>2873.7</v>
          </cell>
        </row>
        <row r="4350">
          <cell r="B4350">
            <v>37911</v>
          </cell>
          <cell r="C4350">
            <v>2867.75</v>
          </cell>
        </row>
        <row r="4351">
          <cell r="B4351">
            <v>37912</v>
          </cell>
          <cell r="C4351">
            <v>2865.04</v>
          </cell>
        </row>
        <row r="4352">
          <cell r="B4352">
            <v>37913</v>
          </cell>
          <cell r="C4352">
            <v>2865.04</v>
          </cell>
        </row>
        <row r="4353">
          <cell r="B4353">
            <v>37914</v>
          </cell>
          <cell r="C4353">
            <v>2865.04</v>
          </cell>
        </row>
        <row r="4354">
          <cell r="B4354">
            <v>37915</v>
          </cell>
          <cell r="C4354">
            <v>2864.34</v>
          </cell>
        </row>
        <row r="4355">
          <cell r="B4355">
            <v>37916</v>
          </cell>
          <cell r="C4355">
            <v>2864.25</v>
          </cell>
        </row>
        <row r="4356">
          <cell r="B4356">
            <v>37917</v>
          </cell>
          <cell r="C4356">
            <v>2870.01</v>
          </cell>
        </row>
        <row r="4357">
          <cell r="B4357">
            <v>37918</v>
          </cell>
          <cell r="C4357">
            <v>2872.55</v>
          </cell>
        </row>
        <row r="4358">
          <cell r="B4358">
            <v>37919</v>
          </cell>
          <cell r="C4358">
            <v>2857.88</v>
          </cell>
        </row>
        <row r="4359">
          <cell r="B4359">
            <v>37920</v>
          </cell>
          <cell r="C4359">
            <v>2857.88</v>
          </cell>
        </row>
        <row r="4360">
          <cell r="B4360">
            <v>37921</v>
          </cell>
          <cell r="C4360">
            <v>2857.88</v>
          </cell>
        </row>
        <row r="4361">
          <cell r="B4361">
            <v>37922</v>
          </cell>
          <cell r="C4361">
            <v>2882.77</v>
          </cell>
        </row>
        <row r="4362">
          <cell r="B4362">
            <v>37923</v>
          </cell>
          <cell r="C4362">
            <v>2879.34</v>
          </cell>
        </row>
        <row r="4363">
          <cell r="B4363">
            <v>37924</v>
          </cell>
          <cell r="C4363">
            <v>2870.11</v>
          </cell>
        </row>
        <row r="4364">
          <cell r="B4364">
            <v>37925</v>
          </cell>
          <cell r="C4364">
            <v>2884.17</v>
          </cell>
        </row>
        <row r="4365">
          <cell r="B4365">
            <v>37926</v>
          </cell>
          <cell r="C4365">
            <v>2878.05</v>
          </cell>
        </row>
        <row r="4366">
          <cell r="B4366">
            <v>37927</v>
          </cell>
          <cell r="C4366">
            <v>2878.05</v>
          </cell>
        </row>
        <row r="4367">
          <cell r="B4367">
            <v>37928</v>
          </cell>
          <cell r="C4367">
            <v>2878.05</v>
          </cell>
        </row>
        <row r="4368">
          <cell r="B4368">
            <v>37929</v>
          </cell>
          <cell r="C4368">
            <v>2878.05</v>
          </cell>
        </row>
        <row r="4369">
          <cell r="B4369">
            <v>37930</v>
          </cell>
          <cell r="C4369">
            <v>2869.46</v>
          </cell>
        </row>
        <row r="4370">
          <cell r="B4370">
            <v>37931</v>
          </cell>
          <cell r="C4370">
            <v>2856.34</v>
          </cell>
        </row>
        <row r="4371">
          <cell r="B4371">
            <v>37932</v>
          </cell>
          <cell r="C4371">
            <v>2854.17</v>
          </cell>
        </row>
        <row r="4372">
          <cell r="B4372">
            <v>37933</v>
          </cell>
          <cell r="C4372">
            <v>2843.82</v>
          </cell>
        </row>
        <row r="4373">
          <cell r="B4373">
            <v>37934</v>
          </cell>
          <cell r="C4373">
            <v>2843.82</v>
          </cell>
        </row>
        <row r="4374">
          <cell r="B4374">
            <v>37935</v>
          </cell>
          <cell r="C4374">
            <v>2843.82</v>
          </cell>
        </row>
        <row r="4375">
          <cell r="B4375">
            <v>37936</v>
          </cell>
          <cell r="C4375">
            <v>2840.41</v>
          </cell>
        </row>
        <row r="4376">
          <cell r="B4376">
            <v>37937</v>
          </cell>
          <cell r="C4376">
            <v>2840.41</v>
          </cell>
        </row>
        <row r="4377">
          <cell r="B4377">
            <v>37938</v>
          </cell>
          <cell r="C4377">
            <v>2845.69</v>
          </cell>
        </row>
        <row r="4378">
          <cell r="B4378">
            <v>37939</v>
          </cell>
          <cell r="C4378">
            <v>2850.24</v>
          </cell>
        </row>
        <row r="4379">
          <cell r="B4379">
            <v>37940</v>
          </cell>
          <cell r="C4379">
            <v>2842.53</v>
          </cell>
        </row>
        <row r="4380">
          <cell r="B4380">
            <v>37941</v>
          </cell>
          <cell r="C4380">
            <v>2842.53</v>
          </cell>
        </row>
        <row r="4381">
          <cell r="B4381">
            <v>37942</v>
          </cell>
          <cell r="C4381">
            <v>2842.53</v>
          </cell>
        </row>
        <row r="4382">
          <cell r="B4382">
            <v>37943</v>
          </cell>
          <cell r="C4382">
            <v>2842.53</v>
          </cell>
        </row>
        <row r="4383">
          <cell r="B4383">
            <v>37944</v>
          </cell>
          <cell r="C4383">
            <v>2831.97</v>
          </cell>
        </row>
        <row r="4384">
          <cell r="B4384">
            <v>37945</v>
          </cell>
          <cell r="C4384">
            <v>2826.6</v>
          </cell>
        </row>
        <row r="4385">
          <cell r="B4385">
            <v>37946</v>
          </cell>
          <cell r="C4385">
            <v>2831.1</v>
          </cell>
        </row>
        <row r="4386">
          <cell r="B4386">
            <v>37947</v>
          </cell>
          <cell r="C4386">
            <v>2836.45</v>
          </cell>
        </row>
        <row r="4387">
          <cell r="B4387">
            <v>37948</v>
          </cell>
          <cell r="C4387">
            <v>2836.45</v>
          </cell>
        </row>
        <row r="4388">
          <cell r="B4388">
            <v>37949</v>
          </cell>
          <cell r="C4388">
            <v>2836.45</v>
          </cell>
        </row>
        <row r="4389">
          <cell r="B4389">
            <v>37950</v>
          </cell>
          <cell r="C4389">
            <v>2838.02</v>
          </cell>
        </row>
        <row r="4390">
          <cell r="B4390">
            <v>37951</v>
          </cell>
          <cell r="C4390">
            <v>2839.2</v>
          </cell>
        </row>
        <row r="4391">
          <cell r="B4391">
            <v>37952</v>
          </cell>
          <cell r="C4391">
            <v>2838.7</v>
          </cell>
        </row>
        <row r="4392">
          <cell r="B4392">
            <v>37953</v>
          </cell>
          <cell r="C4392">
            <v>2838.7</v>
          </cell>
        </row>
        <row r="4393">
          <cell r="B4393">
            <v>37954</v>
          </cell>
          <cell r="C4393">
            <v>2836.05</v>
          </cell>
        </row>
        <row r="4394">
          <cell r="B4394">
            <v>37955</v>
          </cell>
          <cell r="C4394">
            <v>2836.05</v>
          </cell>
        </row>
        <row r="4395">
          <cell r="B4395">
            <v>37956</v>
          </cell>
          <cell r="C4395">
            <v>2836.05</v>
          </cell>
        </row>
        <row r="4396">
          <cell r="B4396">
            <v>37957</v>
          </cell>
          <cell r="C4396">
            <v>2829.08</v>
          </cell>
        </row>
        <row r="4397">
          <cell r="B4397">
            <v>37958</v>
          </cell>
          <cell r="C4397">
            <v>2817.14</v>
          </cell>
        </row>
        <row r="4398">
          <cell r="B4398">
            <v>37959</v>
          </cell>
          <cell r="C4398">
            <v>2815.19</v>
          </cell>
        </row>
        <row r="4399">
          <cell r="B4399">
            <v>37960</v>
          </cell>
          <cell r="C4399">
            <v>2815.33</v>
          </cell>
        </row>
        <row r="4400">
          <cell r="B4400">
            <v>37961</v>
          </cell>
          <cell r="C4400">
            <v>2808.42</v>
          </cell>
        </row>
        <row r="4401">
          <cell r="B4401">
            <v>37962</v>
          </cell>
          <cell r="C4401">
            <v>2808.42</v>
          </cell>
        </row>
        <row r="4402">
          <cell r="B4402">
            <v>37963</v>
          </cell>
          <cell r="C4402">
            <v>2808.42</v>
          </cell>
        </row>
        <row r="4403">
          <cell r="B4403">
            <v>37964</v>
          </cell>
          <cell r="C4403">
            <v>2808.42</v>
          </cell>
        </row>
        <row r="4404">
          <cell r="B4404">
            <v>37965</v>
          </cell>
          <cell r="C4404">
            <v>2822.78</v>
          </cell>
        </row>
        <row r="4405">
          <cell r="B4405">
            <v>37966</v>
          </cell>
          <cell r="C4405">
            <v>2815.45</v>
          </cell>
        </row>
        <row r="4406">
          <cell r="B4406">
            <v>37967</v>
          </cell>
          <cell r="C4406">
            <v>2808.31</v>
          </cell>
        </row>
        <row r="4407">
          <cell r="B4407">
            <v>37968</v>
          </cell>
          <cell r="C4407">
            <v>2812.81</v>
          </cell>
        </row>
        <row r="4408">
          <cell r="B4408">
            <v>37969</v>
          </cell>
          <cell r="C4408">
            <v>2812.81</v>
          </cell>
        </row>
        <row r="4409">
          <cell r="B4409">
            <v>37970</v>
          </cell>
          <cell r="C4409">
            <v>2812.81</v>
          </cell>
        </row>
        <row r="4410">
          <cell r="B4410">
            <v>37971</v>
          </cell>
          <cell r="C4410">
            <v>2807.25</v>
          </cell>
        </row>
        <row r="4411">
          <cell r="B4411">
            <v>37972</v>
          </cell>
          <cell r="C4411">
            <v>2793.06</v>
          </cell>
        </row>
        <row r="4412">
          <cell r="B4412">
            <v>37973</v>
          </cell>
          <cell r="C4412">
            <v>2795.21</v>
          </cell>
        </row>
        <row r="4413">
          <cell r="B4413">
            <v>37974</v>
          </cell>
          <cell r="C4413">
            <v>2801.67</v>
          </cell>
        </row>
        <row r="4414">
          <cell r="B4414">
            <v>37975</v>
          </cell>
          <cell r="C4414">
            <v>2806.89</v>
          </cell>
        </row>
        <row r="4415">
          <cell r="B4415">
            <v>37976</v>
          </cell>
          <cell r="C4415">
            <v>2806.89</v>
          </cell>
        </row>
        <row r="4416">
          <cell r="B4416">
            <v>37977</v>
          </cell>
          <cell r="C4416">
            <v>2806.89</v>
          </cell>
        </row>
        <row r="4417">
          <cell r="B4417">
            <v>37978</v>
          </cell>
          <cell r="C4417">
            <v>2809.09</v>
          </cell>
        </row>
        <row r="4418">
          <cell r="B4418">
            <v>37979</v>
          </cell>
          <cell r="C4418">
            <v>2806.33</v>
          </cell>
        </row>
        <row r="4419">
          <cell r="B4419">
            <v>37980</v>
          </cell>
          <cell r="C4419">
            <v>2796.89</v>
          </cell>
        </row>
        <row r="4420">
          <cell r="B4420">
            <v>37981</v>
          </cell>
          <cell r="C4420">
            <v>2796.89</v>
          </cell>
        </row>
        <row r="4421">
          <cell r="B4421">
            <v>37982</v>
          </cell>
          <cell r="C4421">
            <v>2795.21</v>
          </cell>
        </row>
        <row r="4422">
          <cell r="B4422">
            <v>37983</v>
          </cell>
          <cell r="C4422">
            <v>2795.21</v>
          </cell>
        </row>
        <row r="4423">
          <cell r="B4423">
            <v>37984</v>
          </cell>
          <cell r="C4423">
            <v>2795.21</v>
          </cell>
        </row>
        <row r="4424">
          <cell r="B4424">
            <v>37985</v>
          </cell>
          <cell r="C4424">
            <v>2780.82</v>
          </cell>
        </row>
        <row r="4425">
          <cell r="B4425">
            <v>37986</v>
          </cell>
          <cell r="C4425">
            <v>2778.21</v>
          </cell>
        </row>
        <row r="4426">
          <cell r="B4426">
            <v>37987</v>
          </cell>
          <cell r="C4426">
            <v>2778.21</v>
          </cell>
        </row>
        <row r="4427">
          <cell r="B4427">
            <v>37988</v>
          </cell>
          <cell r="C4427">
            <v>2778.21</v>
          </cell>
        </row>
        <row r="4428">
          <cell r="B4428">
            <v>37989</v>
          </cell>
          <cell r="C4428">
            <v>2777.96</v>
          </cell>
        </row>
        <row r="4429">
          <cell r="B4429">
            <v>37990</v>
          </cell>
          <cell r="C4429">
            <v>2777.96</v>
          </cell>
        </row>
        <row r="4430">
          <cell r="B4430">
            <v>37991</v>
          </cell>
          <cell r="C4430">
            <v>2777.96</v>
          </cell>
        </row>
        <row r="4431">
          <cell r="B4431">
            <v>37992</v>
          </cell>
          <cell r="C4431">
            <v>2778.92</v>
          </cell>
        </row>
        <row r="4432">
          <cell r="B4432">
            <v>37993</v>
          </cell>
          <cell r="C4432">
            <v>2765.76</v>
          </cell>
        </row>
        <row r="4433">
          <cell r="B4433">
            <v>37994</v>
          </cell>
          <cell r="C4433">
            <v>2758.83</v>
          </cell>
        </row>
        <row r="4434">
          <cell r="B4434">
            <v>37995</v>
          </cell>
          <cell r="C4434">
            <v>2750.89</v>
          </cell>
        </row>
        <row r="4435">
          <cell r="B4435">
            <v>37996</v>
          </cell>
          <cell r="C4435">
            <v>2754.33</v>
          </cell>
        </row>
        <row r="4436">
          <cell r="B4436">
            <v>37997</v>
          </cell>
          <cell r="C4436">
            <v>2754.33</v>
          </cell>
        </row>
        <row r="4437">
          <cell r="B4437">
            <v>37998</v>
          </cell>
          <cell r="C4437">
            <v>2754.33</v>
          </cell>
        </row>
        <row r="4438">
          <cell r="B4438">
            <v>37999</v>
          </cell>
          <cell r="C4438">
            <v>2754.33</v>
          </cell>
        </row>
        <row r="4439">
          <cell r="B4439">
            <v>38000</v>
          </cell>
          <cell r="C4439">
            <v>2762.31</v>
          </cell>
        </row>
        <row r="4440">
          <cell r="B4440">
            <v>38001</v>
          </cell>
          <cell r="C4440">
            <v>2747.06</v>
          </cell>
        </row>
        <row r="4441">
          <cell r="B4441">
            <v>38002</v>
          </cell>
          <cell r="C4441">
            <v>2723.83</v>
          </cell>
        </row>
        <row r="4442">
          <cell r="B4442">
            <v>38003</v>
          </cell>
          <cell r="C4442">
            <v>2728.7</v>
          </cell>
        </row>
        <row r="4443">
          <cell r="B4443">
            <v>38004</v>
          </cell>
          <cell r="C4443">
            <v>2728.7</v>
          </cell>
        </row>
        <row r="4444">
          <cell r="B4444">
            <v>38005</v>
          </cell>
          <cell r="C4444">
            <v>2728.7</v>
          </cell>
        </row>
        <row r="4445">
          <cell r="B4445">
            <v>38006</v>
          </cell>
          <cell r="C4445">
            <v>2728.7</v>
          </cell>
        </row>
        <row r="4446">
          <cell r="B4446">
            <v>38007</v>
          </cell>
          <cell r="C4446">
            <v>2730.75</v>
          </cell>
        </row>
        <row r="4447">
          <cell r="B4447">
            <v>38008</v>
          </cell>
          <cell r="C4447">
            <v>2740.76</v>
          </cell>
        </row>
        <row r="4448">
          <cell r="B4448">
            <v>38009</v>
          </cell>
          <cell r="C4448">
            <v>2742.88</v>
          </cell>
        </row>
        <row r="4449">
          <cell r="B4449">
            <v>38010</v>
          </cell>
          <cell r="C4449">
            <v>2747.72</v>
          </cell>
        </row>
        <row r="4450">
          <cell r="B4450">
            <v>38011</v>
          </cell>
          <cell r="C4450">
            <v>2747.72</v>
          </cell>
        </row>
        <row r="4451">
          <cell r="B4451">
            <v>38012</v>
          </cell>
          <cell r="C4451">
            <v>2747.72</v>
          </cell>
        </row>
        <row r="4452">
          <cell r="B4452">
            <v>38013</v>
          </cell>
          <cell r="C4452">
            <v>2766.89</v>
          </cell>
        </row>
        <row r="4453">
          <cell r="B4453">
            <v>38014</v>
          </cell>
          <cell r="C4453">
            <v>2736.28</v>
          </cell>
        </row>
        <row r="4454">
          <cell r="B4454">
            <v>38015</v>
          </cell>
          <cell r="C4454">
            <v>2721.56</v>
          </cell>
        </row>
        <row r="4455">
          <cell r="B4455">
            <v>38016</v>
          </cell>
          <cell r="C4455">
            <v>2740.55</v>
          </cell>
        </row>
        <row r="4456">
          <cell r="B4456">
            <v>38017</v>
          </cell>
          <cell r="C4456">
            <v>2742.47</v>
          </cell>
        </row>
        <row r="4457">
          <cell r="B4457">
            <v>38018</v>
          </cell>
          <cell r="C4457">
            <v>2742.47</v>
          </cell>
        </row>
        <row r="4458">
          <cell r="B4458">
            <v>38019</v>
          </cell>
          <cell r="C4458">
            <v>2742.47</v>
          </cell>
        </row>
        <row r="4459">
          <cell r="B4459">
            <v>38020</v>
          </cell>
          <cell r="C4459">
            <v>2738.15</v>
          </cell>
        </row>
        <row r="4460">
          <cell r="B4460">
            <v>38021</v>
          </cell>
          <cell r="C4460">
            <v>2747.28</v>
          </cell>
        </row>
        <row r="4461">
          <cell r="B4461">
            <v>38022</v>
          </cell>
          <cell r="C4461">
            <v>2750.67</v>
          </cell>
        </row>
        <row r="4462">
          <cell r="B4462">
            <v>38023</v>
          </cell>
          <cell r="C4462">
            <v>2748.9</v>
          </cell>
        </row>
        <row r="4463">
          <cell r="B4463">
            <v>38024</v>
          </cell>
          <cell r="C4463">
            <v>2757.14</v>
          </cell>
        </row>
        <row r="4464">
          <cell r="B4464">
            <v>38025</v>
          </cell>
          <cell r="C4464">
            <v>2757.14</v>
          </cell>
        </row>
        <row r="4465">
          <cell r="B4465">
            <v>38026</v>
          </cell>
          <cell r="C4465">
            <v>2757.14</v>
          </cell>
        </row>
        <row r="4466">
          <cell r="B4466">
            <v>38027</v>
          </cell>
          <cell r="C4466">
            <v>2741.17</v>
          </cell>
        </row>
        <row r="4467">
          <cell r="B4467">
            <v>38028</v>
          </cell>
          <cell r="C4467">
            <v>2735.5</v>
          </cell>
        </row>
        <row r="4468">
          <cell r="B4468">
            <v>38029</v>
          </cell>
          <cell r="C4468">
            <v>2736.94</v>
          </cell>
        </row>
        <row r="4469">
          <cell r="B4469">
            <v>38030</v>
          </cell>
          <cell r="C4469">
            <v>2736.42</v>
          </cell>
        </row>
        <row r="4470">
          <cell r="B4470">
            <v>38031</v>
          </cell>
          <cell r="C4470">
            <v>2724.36</v>
          </cell>
        </row>
        <row r="4471">
          <cell r="B4471">
            <v>38032</v>
          </cell>
          <cell r="C4471">
            <v>2724.36</v>
          </cell>
        </row>
        <row r="4472">
          <cell r="B4472">
            <v>38033</v>
          </cell>
          <cell r="C4472">
            <v>2724.36</v>
          </cell>
        </row>
        <row r="4473">
          <cell r="B4473">
            <v>38034</v>
          </cell>
          <cell r="C4473">
            <v>2724.36</v>
          </cell>
        </row>
        <row r="4474">
          <cell r="B4474">
            <v>38035</v>
          </cell>
          <cell r="C4474">
            <v>2715.2</v>
          </cell>
        </row>
        <row r="4475">
          <cell r="B4475">
            <v>38036</v>
          </cell>
          <cell r="C4475">
            <v>2697.66</v>
          </cell>
        </row>
        <row r="4476">
          <cell r="B4476">
            <v>38037</v>
          </cell>
          <cell r="C4476">
            <v>2693.84</v>
          </cell>
        </row>
        <row r="4477">
          <cell r="B4477">
            <v>38038</v>
          </cell>
          <cell r="C4477">
            <v>2700.19</v>
          </cell>
        </row>
        <row r="4478">
          <cell r="B4478">
            <v>38039</v>
          </cell>
          <cell r="C4478">
            <v>2700.19</v>
          </cell>
        </row>
        <row r="4479">
          <cell r="B4479">
            <v>38040</v>
          </cell>
          <cell r="C4479">
            <v>2700.19</v>
          </cell>
        </row>
        <row r="4480">
          <cell r="B4480">
            <v>38041</v>
          </cell>
          <cell r="C4480">
            <v>2665.83</v>
          </cell>
        </row>
        <row r="4481">
          <cell r="B4481">
            <v>38042</v>
          </cell>
          <cell r="C4481">
            <v>2651.94</v>
          </cell>
        </row>
        <row r="4482">
          <cell r="B4482">
            <v>38043</v>
          </cell>
          <cell r="C4482">
            <v>2664.3</v>
          </cell>
        </row>
        <row r="4483">
          <cell r="B4483">
            <v>38044</v>
          </cell>
          <cell r="C4483">
            <v>2686.54</v>
          </cell>
        </row>
        <row r="4484">
          <cell r="B4484">
            <v>38045</v>
          </cell>
          <cell r="C4484">
            <v>2682.34</v>
          </cell>
        </row>
        <row r="4485">
          <cell r="B4485">
            <v>38046</v>
          </cell>
          <cell r="C4485">
            <v>2682.34</v>
          </cell>
        </row>
        <row r="4486">
          <cell r="B4486">
            <v>38047</v>
          </cell>
          <cell r="C4486">
            <v>2682.34</v>
          </cell>
        </row>
        <row r="4487">
          <cell r="B4487">
            <v>38048</v>
          </cell>
          <cell r="C4487">
            <v>2662.81</v>
          </cell>
        </row>
        <row r="4488">
          <cell r="B4488">
            <v>38049</v>
          </cell>
          <cell r="C4488">
            <v>2660.42</v>
          </cell>
        </row>
        <row r="4489">
          <cell r="B4489">
            <v>38050</v>
          </cell>
          <cell r="C4489">
            <v>2670.97</v>
          </cell>
        </row>
        <row r="4490">
          <cell r="B4490">
            <v>38051</v>
          </cell>
          <cell r="C4490">
            <v>2676.41</v>
          </cell>
        </row>
        <row r="4491">
          <cell r="B4491">
            <v>38052</v>
          </cell>
          <cell r="C4491">
            <v>2673.29</v>
          </cell>
        </row>
        <row r="4492">
          <cell r="B4492">
            <v>38053</v>
          </cell>
          <cell r="C4492">
            <v>2673.29</v>
          </cell>
        </row>
        <row r="4493">
          <cell r="B4493">
            <v>38054</v>
          </cell>
          <cell r="C4493">
            <v>2673.29</v>
          </cell>
        </row>
        <row r="4494">
          <cell r="B4494">
            <v>38055</v>
          </cell>
          <cell r="C4494">
            <v>2675.65</v>
          </cell>
        </row>
        <row r="4495">
          <cell r="B4495">
            <v>38056</v>
          </cell>
          <cell r="C4495">
            <v>2679.22</v>
          </cell>
        </row>
        <row r="4496">
          <cell r="B4496">
            <v>38057</v>
          </cell>
          <cell r="C4496">
            <v>2685.17</v>
          </cell>
        </row>
        <row r="4497">
          <cell r="B4497">
            <v>38058</v>
          </cell>
          <cell r="C4497">
            <v>2683.08</v>
          </cell>
        </row>
        <row r="4498">
          <cell r="B4498">
            <v>38059</v>
          </cell>
          <cell r="C4498">
            <v>2669.48</v>
          </cell>
        </row>
        <row r="4499">
          <cell r="B4499">
            <v>38060</v>
          </cell>
          <cell r="C4499">
            <v>2669.48</v>
          </cell>
        </row>
        <row r="4500">
          <cell r="B4500">
            <v>38061</v>
          </cell>
          <cell r="C4500">
            <v>2669.48</v>
          </cell>
        </row>
        <row r="4501">
          <cell r="B4501">
            <v>38062</v>
          </cell>
          <cell r="C4501">
            <v>2661.45</v>
          </cell>
        </row>
        <row r="4502">
          <cell r="B4502">
            <v>38063</v>
          </cell>
          <cell r="C4502">
            <v>2648.97</v>
          </cell>
        </row>
        <row r="4503">
          <cell r="B4503">
            <v>38064</v>
          </cell>
          <cell r="C4503">
            <v>2650.21</v>
          </cell>
        </row>
        <row r="4504">
          <cell r="B4504">
            <v>38065</v>
          </cell>
          <cell r="C4504">
            <v>2669.07</v>
          </cell>
        </row>
        <row r="4505">
          <cell r="B4505">
            <v>38066</v>
          </cell>
          <cell r="C4505">
            <v>2669.39</v>
          </cell>
        </row>
        <row r="4506">
          <cell r="B4506">
            <v>38067</v>
          </cell>
          <cell r="C4506">
            <v>2669.39</v>
          </cell>
        </row>
        <row r="4507">
          <cell r="B4507">
            <v>38068</v>
          </cell>
          <cell r="C4507">
            <v>2669.39</v>
          </cell>
        </row>
        <row r="4508">
          <cell r="B4508">
            <v>38069</v>
          </cell>
          <cell r="C4508">
            <v>2669.39</v>
          </cell>
        </row>
        <row r="4509">
          <cell r="B4509">
            <v>38070</v>
          </cell>
          <cell r="C4509">
            <v>2664.5</v>
          </cell>
        </row>
        <row r="4510">
          <cell r="B4510">
            <v>38071</v>
          </cell>
          <cell r="C4510">
            <v>2667.05</v>
          </cell>
        </row>
        <row r="4511">
          <cell r="B4511">
            <v>38072</v>
          </cell>
          <cell r="C4511">
            <v>2679.33</v>
          </cell>
        </row>
        <row r="4512">
          <cell r="B4512">
            <v>38073</v>
          </cell>
          <cell r="C4512">
            <v>2673.68</v>
          </cell>
        </row>
        <row r="4513">
          <cell r="B4513">
            <v>38074</v>
          </cell>
          <cell r="C4513">
            <v>2673.68</v>
          </cell>
        </row>
        <row r="4514">
          <cell r="B4514">
            <v>38075</v>
          </cell>
          <cell r="C4514">
            <v>2673.68</v>
          </cell>
        </row>
        <row r="4515">
          <cell r="B4515">
            <v>38076</v>
          </cell>
          <cell r="C4515">
            <v>2676.93</v>
          </cell>
        </row>
        <row r="4516">
          <cell r="B4516">
            <v>38077</v>
          </cell>
          <cell r="C4516">
            <v>2678.16</v>
          </cell>
        </row>
        <row r="4517">
          <cell r="B4517">
            <v>38078</v>
          </cell>
          <cell r="C4517">
            <v>2682.09</v>
          </cell>
        </row>
        <row r="4518">
          <cell r="B4518">
            <v>38079</v>
          </cell>
          <cell r="C4518">
            <v>2671.01</v>
          </cell>
        </row>
        <row r="4519">
          <cell r="B4519">
            <v>38080</v>
          </cell>
          <cell r="C4519">
            <v>2666.55</v>
          </cell>
        </row>
        <row r="4520">
          <cell r="B4520">
            <v>38081</v>
          </cell>
          <cell r="C4520">
            <v>2666.55</v>
          </cell>
        </row>
        <row r="4521">
          <cell r="B4521">
            <v>38082</v>
          </cell>
          <cell r="C4521">
            <v>2666.55</v>
          </cell>
        </row>
        <row r="4522">
          <cell r="B4522">
            <v>38083</v>
          </cell>
          <cell r="C4522">
            <v>2667.06</v>
          </cell>
        </row>
        <row r="4523">
          <cell r="B4523">
            <v>38084</v>
          </cell>
          <cell r="C4523">
            <v>2663.05</v>
          </cell>
        </row>
        <row r="4524">
          <cell r="B4524">
            <v>38085</v>
          </cell>
          <cell r="C4524">
            <v>2659.05</v>
          </cell>
        </row>
        <row r="4525">
          <cell r="B4525">
            <v>38086</v>
          </cell>
          <cell r="C4525">
            <v>2659.05</v>
          </cell>
        </row>
        <row r="4526">
          <cell r="B4526">
            <v>38087</v>
          </cell>
          <cell r="C4526">
            <v>2659.05</v>
          </cell>
        </row>
        <row r="4527">
          <cell r="B4527">
            <v>38088</v>
          </cell>
          <cell r="C4527">
            <v>2659.05</v>
          </cell>
        </row>
        <row r="4528">
          <cell r="B4528">
            <v>38089</v>
          </cell>
          <cell r="C4528">
            <v>2659.05</v>
          </cell>
        </row>
        <row r="4529">
          <cell r="B4529">
            <v>38090</v>
          </cell>
          <cell r="C4529">
            <v>2648.8</v>
          </cell>
        </row>
        <row r="4530">
          <cell r="B4530">
            <v>38091</v>
          </cell>
          <cell r="C4530">
            <v>2642.55</v>
          </cell>
        </row>
        <row r="4531">
          <cell r="B4531">
            <v>38092</v>
          </cell>
          <cell r="C4531">
            <v>2631.72</v>
          </cell>
        </row>
        <row r="4532">
          <cell r="B4532">
            <v>38093</v>
          </cell>
          <cell r="C4532">
            <v>2619.59</v>
          </cell>
        </row>
        <row r="4533">
          <cell r="B4533">
            <v>38094</v>
          </cell>
          <cell r="C4533">
            <v>2620.19</v>
          </cell>
        </row>
        <row r="4534">
          <cell r="B4534">
            <v>38095</v>
          </cell>
          <cell r="C4534">
            <v>2620.19</v>
          </cell>
        </row>
        <row r="4535">
          <cell r="B4535">
            <v>38096</v>
          </cell>
          <cell r="C4535">
            <v>2620.19</v>
          </cell>
        </row>
        <row r="4536">
          <cell r="B4536">
            <v>38097</v>
          </cell>
          <cell r="C4536">
            <v>2612.3000000000002</v>
          </cell>
        </row>
        <row r="4537">
          <cell r="B4537">
            <v>38098</v>
          </cell>
          <cell r="C4537">
            <v>2620.94</v>
          </cell>
        </row>
        <row r="4538">
          <cell r="B4538">
            <v>38099</v>
          </cell>
          <cell r="C4538">
            <v>2628.19</v>
          </cell>
        </row>
        <row r="4539">
          <cell r="B4539">
            <v>38100</v>
          </cell>
          <cell r="C4539">
            <v>2618.21</v>
          </cell>
        </row>
        <row r="4540">
          <cell r="B4540">
            <v>38101</v>
          </cell>
          <cell r="C4540">
            <v>2622.74</v>
          </cell>
        </row>
        <row r="4541">
          <cell r="B4541">
            <v>38102</v>
          </cell>
          <cell r="C4541">
            <v>2622.74</v>
          </cell>
        </row>
        <row r="4542">
          <cell r="B4542">
            <v>38103</v>
          </cell>
          <cell r="C4542">
            <v>2622.74</v>
          </cell>
        </row>
        <row r="4543">
          <cell r="B4543">
            <v>38104</v>
          </cell>
          <cell r="C4543">
            <v>2613.94</v>
          </cell>
        </row>
        <row r="4544">
          <cell r="B4544">
            <v>38105</v>
          </cell>
          <cell r="C4544">
            <v>2620.9699999999998</v>
          </cell>
        </row>
        <row r="4545">
          <cell r="B4545">
            <v>38106</v>
          </cell>
          <cell r="C4545">
            <v>2635.96</v>
          </cell>
        </row>
        <row r="4546">
          <cell r="B4546">
            <v>38107</v>
          </cell>
          <cell r="C4546">
            <v>2646.99</v>
          </cell>
        </row>
        <row r="4547">
          <cell r="B4547">
            <v>38108</v>
          </cell>
          <cell r="C4547">
            <v>2655.18</v>
          </cell>
        </row>
        <row r="4548">
          <cell r="B4548">
            <v>38109</v>
          </cell>
          <cell r="C4548">
            <v>2655.18</v>
          </cell>
        </row>
        <row r="4549">
          <cell r="B4549">
            <v>38110</v>
          </cell>
          <cell r="C4549">
            <v>2655.18</v>
          </cell>
        </row>
        <row r="4550">
          <cell r="B4550">
            <v>38111</v>
          </cell>
          <cell r="C4550">
            <v>2670.92</v>
          </cell>
        </row>
        <row r="4551">
          <cell r="B4551">
            <v>38112</v>
          </cell>
          <cell r="C4551">
            <v>2664.79</v>
          </cell>
        </row>
        <row r="4552">
          <cell r="B4552">
            <v>38113</v>
          </cell>
          <cell r="C4552">
            <v>2658.43</v>
          </cell>
        </row>
        <row r="4553">
          <cell r="B4553">
            <v>38114</v>
          </cell>
          <cell r="C4553">
            <v>2690.68</v>
          </cell>
        </row>
        <row r="4554">
          <cell r="B4554">
            <v>38115</v>
          </cell>
          <cell r="C4554">
            <v>2708.02</v>
          </cell>
        </row>
        <row r="4555">
          <cell r="B4555">
            <v>38116</v>
          </cell>
          <cell r="C4555">
            <v>2708.02</v>
          </cell>
        </row>
        <row r="4556">
          <cell r="B4556">
            <v>38117</v>
          </cell>
          <cell r="C4556">
            <v>2708.02</v>
          </cell>
        </row>
        <row r="4557">
          <cell r="B4557">
            <v>38118</v>
          </cell>
          <cell r="C4557">
            <v>2731.79</v>
          </cell>
        </row>
        <row r="4558">
          <cell r="B4558">
            <v>38119</v>
          </cell>
          <cell r="C4558">
            <v>2729.54</v>
          </cell>
        </row>
        <row r="4559">
          <cell r="B4559">
            <v>38120</v>
          </cell>
          <cell r="C4559">
            <v>2729.01</v>
          </cell>
        </row>
        <row r="4560">
          <cell r="B4560">
            <v>38121</v>
          </cell>
          <cell r="C4560">
            <v>2741.66</v>
          </cell>
        </row>
        <row r="4561">
          <cell r="B4561">
            <v>38122</v>
          </cell>
          <cell r="C4561">
            <v>2719.89</v>
          </cell>
        </row>
        <row r="4562">
          <cell r="B4562">
            <v>38123</v>
          </cell>
          <cell r="C4562">
            <v>2719.89</v>
          </cell>
        </row>
        <row r="4563">
          <cell r="B4563">
            <v>38124</v>
          </cell>
          <cell r="C4563">
            <v>2719.89</v>
          </cell>
        </row>
        <row r="4564">
          <cell r="B4564">
            <v>38125</v>
          </cell>
          <cell r="C4564">
            <v>2713.3</v>
          </cell>
        </row>
        <row r="4565">
          <cell r="B4565">
            <v>38126</v>
          </cell>
          <cell r="C4565">
            <v>2725.45</v>
          </cell>
        </row>
        <row r="4566">
          <cell r="B4566">
            <v>38127</v>
          </cell>
          <cell r="C4566">
            <v>2737.55</v>
          </cell>
        </row>
        <row r="4567">
          <cell r="B4567">
            <v>38128</v>
          </cell>
          <cell r="C4567">
            <v>2759.79</v>
          </cell>
        </row>
        <row r="4568">
          <cell r="B4568">
            <v>38129</v>
          </cell>
          <cell r="C4568">
            <v>2766.83</v>
          </cell>
        </row>
        <row r="4569">
          <cell r="B4569">
            <v>38130</v>
          </cell>
          <cell r="C4569">
            <v>2766.83</v>
          </cell>
        </row>
        <row r="4570">
          <cell r="B4570">
            <v>38131</v>
          </cell>
          <cell r="C4570">
            <v>2766.83</v>
          </cell>
        </row>
        <row r="4571">
          <cell r="B4571">
            <v>38132</v>
          </cell>
          <cell r="C4571">
            <v>2766.83</v>
          </cell>
        </row>
        <row r="4572">
          <cell r="B4572">
            <v>38133</v>
          </cell>
          <cell r="C4572">
            <v>2760.06</v>
          </cell>
        </row>
        <row r="4573">
          <cell r="B4573">
            <v>38134</v>
          </cell>
          <cell r="C4573">
            <v>2754.83</v>
          </cell>
        </row>
        <row r="4574">
          <cell r="B4574">
            <v>38135</v>
          </cell>
          <cell r="C4574">
            <v>2745.91</v>
          </cell>
        </row>
        <row r="4575">
          <cell r="B4575">
            <v>38136</v>
          </cell>
          <cell r="C4575">
            <v>2724.92</v>
          </cell>
        </row>
        <row r="4576">
          <cell r="B4576">
            <v>38137</v>
          </cell>
          <cell r="C4576">
            <v>2724.92</v>
          </cell>
        </row>
        <row r="4577">
          <cell r="B4577">
            <v>38138</v>
          </cell>
          <cell r="C4577">
            <v>2724.92</v>
          </cell>
        </row>
        <row r="4578">
          <cell r="B4578">
            <v>38139</v>
          </cell>
          <cell r="C4578">
            <v>2724.92</v>
          </cell>
        </row>
        <row r="4579">
          <cell r="B4579">
            <v>38140</v>
          </cell>
          <cell r="C4579">
            <v>2736.39</v>
          </cell>
        </row>
        <row r="4580">
          <cell r="B4580">
            <v>38141</v>
          </cell>
          <cell r="C4580">
            <v>2727.68</v>
          </cell>
        </row>
        <row r="4581">
          <cell r="B4581">
            <v>38142</v>
          </cell>
          <cell r="C4581">
            <v>2722.69</v>
          </cell>
        </row>
        <row r="4582">
          <cell r="B4582">
            <v>38143</v>
          </cell>
          <cell r="C4582">
            <v>2715.37</v>
          </cell>
        </row>
        <row r="4583">
          <cell r="B4583">
            <v>38144</v>
          </cell>
          <cell r="C4583">
            <v>2715.37</v>
          </cell>
        </row>
        <row r="4584">
          <cell r="B4584">
            <v>38145</v>
          </cell>
          <cell r="C4584">
            <v>2715.37</v>
          </cell>
        </row>
        <row r="4585">
          <cell r="B4585">
            <v>38146</v>
          </cell>
          <cell r="C4585">
            <v>2707.33</v>
          </cell>
        </row>
        <row r="4586">
          <cell r="B4586">
            <v>38147</v>
          </cell>
          <cell r="C4586">
            <v>2705.97</v>
          </cell>
        </row>
        <row r="4587">
          <cell r="B4587">
            <v>38148</v>
          </cell>
          <cell r="C4587">
            <v>2719.34</v>
          </cell>
        </row>
        <row r="4588">
          <cell r="B4588">
            <v>38149</v>
          </cell>
          <cell r="C4588">
            <v>2732.4</v>
          </cell>
        </row>
        <row r="4589">
          <cell r="B4589">
            <v>38150</v>
          </cell>
          <cell r="C4589">
            <v>2734.94</v>
          </cell>
        </row>
        <row r="4590">
          <cell r="B4590">
            <v>38151</v>
          </cell>
          <cell r="C4590">
            <v>2734.94</v>
          </cell>
        </row>
        <row r="4591">
          <cell r="B4591">
            <v>38152</v>
          </cell>
          <cell r="C4591">
            <v>2734.94</v>
          </cell>
        </row>
        <row r="4592">
          <cell r="B4592">
            <v>38153</v>
          </cell>
          <cell r="C4592">
            <v>2734.94</v>
          </cell>
        </row>
        <row r="4593">
          <cell r="B4593">
            <v>38154</v>
          </cell>
          <cell r="C4593">
            <v>2735.05</v>
          </cell>
        </row>
        <row r="4594">
          <cell r="B4594">
            <v>38155</v>
          </cell>
          <cell r="C4594">
            <v>2725.87</v>
          </cell>
        </row>
        <row r="4595">
          <cell r="B4595">
            <v>38156</v>
          </cell>
          <cell r="C4595">
            <v>2713.07</v>
          </cell>
        </row>
        <row r="4596">
          <cell r="B4596">
            <v>38157</v>
          </cell>
          <cell r="C4596">
            <v>2710.99</v>
          </cell>
        </row>
        <row r="4597">
          <cell r="B4597">
            <v>38158</v>
          </cell>
          <cell r="C4597">
            <v>2710.99</v>
          </cell>
        </row>
        <row r="4598">
          <cell r="B4598">
            <v>38159</v>
          </cell>
          <cell r="C4598">
            <v>2710.99</v>
          </cell>
        </row>
        <row r="4599">
          <cell r="B4599">
            <v>38160</v>
          </cell>
          <cell r="C4599">
            <v>2710.99</v>
          </cell>
        </row>
        <row r="4600">
          <cell r="B4600">
            <v>38161</v>
          </cell>
          <cell r="C4600">
            <v>2709.3</v>
          </cell>
        </row>
        <row r="4601">
          <cell r="B4601">
            <v>38162</v>
          </cell>
          <cell r="C4601">
            <v>2715.53</v>
          </cell>
        </row>
        <row r="4602">
          <cell r="B4602">
            <v>38163</v>
          </cell>
          <cell r="C4602">
            <v>2702.6</v>
          </cell>
        </row>
        <row r="4603">
          <cell r="B4603">
            <v>38164</v>
          </cell>
          <cell r="C4603">
            <v>2697.08</v>
          </cell>
        </row>
        <row r="4604">
          <cell r="B4604">
            <v>38165</v>
          </cell>
          <cell r="C4604">
            <v>2697.08</v>
          </cell>
        </row>
        <row r="4605">
          <cell r="B4605">
            <v>38166</v>
          </cell>
          <cell r="C4605">
            <v>2697.08</v>
          </cell>
        </row>
        <row r="4606">
          <cell r="B4606">
            <v>38167</v>
          </cell>
          <cell r="C4606">
            <v>2695.02</v>
          </cell>
        </row>
        <row r="4607">
          <cell r="B4607">
            <v>38168</v>
          </cell>
          <cell r="C4607">
            <v>2699.58</v>
          </cell>
        </row>
        <row r="4608">
          <cell r="B4608">
            <v>38169</v>
          </cell>
          <cell r="C4608">
            <v>2694.09</v>
          </cell>
        </row>
        <row r="4609">
          <cell r="B4609">
            <v>38170</v>
          </cell>
          <cell r="C4609">
            <v>2682.25</v>
          </cell>
        </row>
        <row r="4610">
          <cell r="B4610">
            <v>38171</v>
          </cell>
          <cell r="C4610">
            <v>2674.1</v>
          </cell>
        </row>
        <row r="4611">
          <cell r="B4611">
            <v>38172</v>
          </cell>
          <cell r="C4611">
            <v>2674.1</v>
          </cell>
        </row>
        <row r="4612">
          <cell r="B4612">
            <v>38173</v>
          </cell>
          <cell r="C4612">
            <v>2674.1</v>
          </cell>
        </row>
        <row r="4613">
          <cell r="B4613">
            <v>38174</v>
          </cell>
          <cell r="C4613">
            <v>2674.1</v>
          </cell>
        </row>
        <row r="4614">
          <cell r="B4614">
            <v>38175</v>
          </cell>
          <cell r="C4614">
            <v>2672.95</v>
          </cell>
        </row>
        <row r="4615">
          <cell r="B4615">
            <v>38176</v>
          </cell>
          <cell r="C4615">
            <v>2675.05</v>
          </cell>
        </row>
        <row r="4616">
          <cell r="B4616">
            <v>38177</v>
          </cell>
          <cell r="C4616">
            <v>2677.42</v>
          </cell>
        </row>
        <row r="4617">
          <cell r="B4617">
            <v>38178</v>
          </cell>
          <cell r="C4617">
            <v>2668.83</v>
          </cell>
        </row>
        <row r="4618">
          <cell r="B4618">
            <v>38179</v>
          </cell>
          <cell r="C4618">
            <v>2668.83</v>
          </cell>
        </row>
        <row r="4619">
          <cell r="B4619">
            <v>38180</v>
          </cell>
          <cell r="C4619">
            <v>2668.83</v>
          </cell>
        </row>
        <row r="4620">
          <cell r="B4620">
            <v>38181</v>
          </cell>
          <cell r="C4620">
            <v>2670.01</v>
          </cell>
        </row>
        <row r="4621">
          <cell r="B4621">
            <v>38182</v>
          </cell>
          <cell r="C4621">
            <v>2674.41</v>
          </cell>
        </row>
        <row r="4622">
          <cell r="B4622">
            <v>38183</v>
          </cell>
          <cell r="C4622">
            <v>2662.19</v>
          </cell>
        </row>
        <row r="4623">
          <cell r="B4623">
            <v>38184</v>
          </cell>
          <cell r="C4623">
            <v>2642.78</v>
          </cell>
        </row>
        <row r="4624">
          <cell r="B4624">
            <v>38185</v>
          </cell>
          <cell r="C4624">
            <v>2628.3</v>
          </cell>
        </row>
        <row r="4625">
          <cell r="B4625">
            <v>38186</v>
          </cell>
          <cell r="C4625">
            <v>2628.3</v>
          </cell>
        </row>
        <row r="4626">
          <cell r="B4626">
            <v>38187</v>
          </cell>
          <cell r="C4626">
            <v>2628.3</v>
          </cell>
        </row>
        <row r="4627">
          <cell r="B4627">
            <v>38188</v>
          </cell>
          <cell r="C4627">
            <v>2632.64</v>
          </cell>
        </row>
        <row r="4628">
          <cell r="B4628">
            <v>38189</v>
          </cell>
          <cell r="C4628">
            <v>2632.64</v>
          </cell>
        </row>
        <row r="4629">
          <cell r="B4629">
            <v>38190</v>
          </cell>
          <cell r="C4629">
            <v>2633.14</v>
          </cell>
        </row>
        <row r="4630">
          <cell r="B4630">
            <v>38191</v>
          </cell>
          <cell r="C4630">
            <v>2619.84</v>
          </cell>
        </row>
        <row r="4631">
          <cell r="B4631">
            <v>38192</v>
          </cell>
          <cell r="C4631">
            <v>2628.46</v>
          </cell>
        </row>
        <row r="4632">
          <cell r="B4632">
            <v>38193</v>
          </cell>
          <cell r="C4632">
            <v>2628.46</v>
          </cell>
        </row>
        <row r="4633">
          <cell r="B4633">
            <v>38194</v>
          </cell>
          <cell r="C4633">
            <v>2628.46</v>
          </cell>
        </row>
        <row r="4634">
          <cell r="B4634">
            <v>38195</v>
          </cell>
          <cell r="C4634">
            <v>2636.32</v>
          </cell>
        </row>
        <row r="4635">
          <cell r="B4635">
            <v>38196</v>
          </cell>
          <cell r="C4635">
            <v>2639.72</v>
          </cell>
        </row>
        <row r="4636">
          <cell r="B4636">
            <v>38197</v>
          </cell>
          <cell r="C4636">
            <v>2634.44</v>
          </cell>
        </row>
        <row r="4637">
          <cell r="B4637">
            <v>38198</v>
          </cell>
          <cell r="C4637">
            <v>2619.5500000000002</v>
          </cell>
        </row>
        <row r="4638">
          <cell r="B4638">
            <v>38199</v>
          </cell>
          <cell r="C4638">
            <v>2612.44</v>
          </cell>
        </row>
        <row r="4639">
          <cell r="B4639">
            <v>38200</v>
          </cell>
          <cell r="C4639">
            <v>2612.44</v>
          </cell>
        </row>
        <row r="4640">
          <cell r="B4640">
            <v>38201</v>
          </cell>
          <cell r="C4640">
            <v>2612.44</v>
          </cell>
        </row>
        <row r="4641">
          <cell r="B4641">
            <v>38202</v>
          </cell>
          <cell r="C4641">
            <v>2613.58</v>
          </cell>
        </row>
        <row r="4642">
          <cell r="B4642">
            <v>38203</v>
          </cell>
          <cell r="C4642">
            <v>2605.85</v>
          </cell>
        </row>
        <row r="4643">
          <cell r="B4643">
            <v>38204</v>
          </cell>
          <cell r="C4643">
            <v>2609.39</v>
          </cell>
        </row>
        <row r="4644">
          <cell r="B4644">
            <v>38205</v>
          </cell>
          <cell r="C4644">
            <v>2609.61</v>
          </cell>
        </row>
        <row r="4645">
          <cell r="B4645">
            <v>38206</v>
          </cell>
          <cell r="C4645">
            <v>2602.91</v>
          </cell>
        </row>
        <row r="4646">
          <cell r="B4646">
            <v>38207</v>
          </cell>
          <cell r="C4646">
            <v>2602.91</v>
          </cell>
        </row>
        <row r="4647">
          <cell r="B4647">
            <v>38208</v>
          </cell>
          <cell r="C4647">
            <v>2602.91</v>
          </cell>
        </row>
        <row r="4648">
          <cell r="B4648">
            <v>38209</v>
          </cell>
          <cell r="C4648">
            <v>2597.71</v>
          </cell>
        </row>
        <row r="4649">
          <cell r="B4649">
            <v>38210</v>
          </cell>
          <cell r="C4649">
            <v>2598.98</v>
          </cell>
        </row>
        <row r="4650">
          <cell r="B4650">
            <v>38211</v>
          </cell>
          <cell r="C4650">
            <v>2606.9299999999998</v>
          </cell>
        </row>
        <row r="4651">
          <cell r="B4651">
            <v>38212</v>
          </cell>
          <cell r="C4651">
            <v>2614.9699999999998</v>
          </cell>
        </row>
        <row r="4652">
          <cell r="B4652">
            <v>38213</v>
          </cell>
          <cell r="C4652">
            <v>2609.92</v>
          </cell>
        </row>
        <row r="4653">
          <cell r="B4653">
            <v>38214</v>
          </cell>
          <cell r="C4653">
            <v>2609.92</v>
          </cell>
        </row>
        <row r="4654">
          <cell r="B4654">
            <v>38215</v>
          </cell>
          <cell r="C4654">
            <v>2609.92</v>
          </cell>
        </row>
        <row r="4655">
          <cell r="B4655">
            <v>38216</v>
          </cell>
          <cell r="C4655">
            <v>2609.92</v>
          </cell>
        </row>
        <row r="4656">
          <cell r="B4656">
            <v>38217</v>
          </cell>
          <cell r="C4656">
            <v>2608.88</v>
          </cell>
        </row>
        <row r="4657">
          <cell r="B4657">
            <v>38218</v>
          </cell>
          <cell r="C4657">
            <v>2609.88</v>
          </cell>
        </row>
        <row r="4658">
          <cell r="B4658">
            <v>38219</v>
          </cell>
          <cell r="C4658">
            <v>2607.62</v>
          </cell>
        </row>
        <row r="4659">
          <cell r="B4659">
            <v>38220</v>
          </cell>
          <cell r="C4659">
            <v>2606.5700000000002</v>
          </cell>
        </row>
        <row r="4660">
          <cell r="B4660">
            <v>38221</v>
          </cell>
          <cell r="C4660">
            <v>2606.5700000000002</v>
          </cell>
        </row>
        <row r="4661">
          <cell r="B4661">
            <v>38222</v>
          </cell>
          <cell r="C4661">
            <v>2606.5700000000002</v>
          </cell>
        </row>
        <row r="4662">
          <cell r="B4662">
            <v>38223</v>
          </cell>
          <cell r="C4662">
            <v>2595.75</v>
          </cell>
        </row>
        <row r="4663">
          <cell r="B4663">
            <v>38224</v>
          </cell>
          <cell r="C4663">
            <v>2589.25</v>
          </cell>
        </row>
        <row r="4664">
          <cell r="B4664">
            <v>38225</v>
          </cell>
          <cell r="C4664">
            <v>2575.5100000000002</v>
          </cell>
        </row>
        <row r="4665">
          <cell r="B4665">
            <v>38226</v>
          </cell>
          <cell r="C4665">
            <v>2568.6799999999998</v>
          </cell>
        </row>
        <row r="4666">
          <cell r="B4666">
            <v>38227</v>
          </cell>
          <cell r="C4666">
            <v>2574.4899999999998</v>
          </cell>
        </row>
        <row r="4667">
          <cell r="B4667">
            <v>38228</v>
          </cell>
          <cell r="C4667">
            <v>2574.4899999999998</v>
          </cell>
        </row>
        <row r="4668">
          <cell r="B4668">
            <v>38229</v>
          </cell>
          <cell r="C4668">
            <v>2574.4899999999998</v>
          </cell>
        </row>
        <row r="4669">
          <cell r="B4669">
            <v>38230</v>
          </cell>
          <cell r="C4669">
            <v>2551.4299999999998</v>
          </cell>
        </row>
        <row r="4670">
          <cell r="B4670">
            <v>38231</v>
          </cell>
          <cell r="C4670">
            <v>2536.5100000000002</v>
          </cell>
        </row>
        <row r="4671">
          <cell r="B4671">
            <v>38232</v>
          </cell>
          <cell r="C4671">
            <v>2538.59</v>
          </cell>
        </row>
        <row r="4672">
          <cell r="B4672">
            <v>38233</v>
          </cell>
          <cell r="C4672">
            <v>2552.7800000000002</v>
          </cell>
        </row>
        <row r="4673">
          <cell r="B4673">
            <v>38234</v>
          </cell>
          <cell r="C4673">
            <v>2564.89</v>
          </cell>
        </row>
        <row r="4674">
          <cell r="B4674">
            <v>38235</v>
          </cell>
          <cell r="C4674">
            <v>2564.89</v>
          </cell>
        </row>
        <row r="4675">
          <cell r="B4675">
            <v>38236</v>
          </cell>
          <cell r="C4675">
            <v>2564.89</v>
          </cell>
        </row>
        <row r="4676">
          <cell r="B4676">
            <v>38237</v>
          </cell>
          <cell r="C4676">
            <v>2564.89</v>
          </cell>
        </row>
        <row r="4677">
          <cell r="B4677">
            <v>38238</v>
          </cell>
          <cell r="C4677">
            <v>2552.7399999999998</v>
          </cell>
        </row>
        <row r="4678">
          <cell r="B4678">
            <v>38239</v>
          </cell>
          <cell r="C4678">
            <v>2536</v>
          </cell>
        </row>
        <row r="4679">
          <cell r="B4679">
            <v>38240</v>
          </cell>
          <cell r="C4679">
            <v>2523.08</v>
          </cell>
        </row>
        <row r="4680">
          <cell r="B4680">
            <v>38241</v>
          </cell>
          <cell r="C4680">
            <v>2535.29</v>
          </cell>
        </row>
        <row r="4681">
          <cell r="B4681">
            <v>38242</v>
          </cell>
          <cell r="C4681">
            <v>2535.29</v>
          </cell>
        </row>
        <row r="4682">
          <cell r="B4682">
            <v>38243</v>
          </cell>
          <cell r="C4682">
            <v>2535.29</v>
          </cell>
        </row>
        <row r="4683">
          <cell r="B4683">
            <v>38244</v>
          </cell>
          <cell r="C4683">
            <v>2525.12</v>
          </cell>
        </row>
        <row r="4684">
          <cell r="B4684">
            <v>38245</v>
          </cell>
          <cell r="C4684">
            <v>2521.77</v>
          </cell>
        </row>
        <row r="4685">
          <cell r="B4685">
            <v>38246</v>
          </cell>
          <cell r="C4685">
            <v>2536.4</v>
          </cell>
        </row>
        <row r="4686">
          <cell r="B4686">
            <v>38247</v>
          </cell>
          <cell r="C4686">
            <v>2522.5700000000002</v>
          </cell>
        </row>
        <row r="4687">
          <cell r="B4687">
            <v>38248</v>
          </cell>
          <cell r="C4687">
            <v>2518.3000000000002</v>
          </cell>
        </row>
        <row r="4688">
          <cell r="B4688">
            <v>38249</v>
          </cell>
          <cell r="C4688">
            <v>2518.3000000000002</v>
          </cell>
        </row>
        <row r="4689">
          <cell r="B4689">
            <v>38250</v>
          </cell>
          <cell r="C4689">
            <v>2518.3000000000002</v>
          </cell>
        </row>
        <row r="4690">
          <cell r="B4690">
            <v>38251</v>
          </cell>
          <cell r="C4690">
            <v>2548.1999999999998</v>
          </cell>
        </row>
        <row r="4691">
          <cell r="B4691">
            <v>38252</v>
          </cell>
          <cell r="C4691">
            <v>2561.1999999999998</v>
          </cell>
        </row>
        <row r="4692">
          <cell r="B4692">
            <v>38253</v>
          </cell>
          <cell r="C4692">
            <v>2560.66</v>
          </cell>
        </row>
        <row r="4693">
          <cell r="B4693">
            <v>38254</v>
          </cell>
          <cell r="C4693">
            <v>2567.83</v>
          </cell>
        </row>
        <row r="4694">
          <cell r="B4694">
            <v>38255</v>
          </cell>
          <cell r="C4694">
            <v>2602.1999999999998</v>
          </cell>
        </row>
        <row r="4695">
          <cell r="B4695">
            <v>38256</v>
          </cell>
          <cell r="C4695">
            <v>2602.1999999999998</v>
          </cell>
        </row>
        <row r="4696">
          <cell r="B4696">
            <v>38257</v>
          </cell>
          <cell r="C4696">
            <v>2602.1999999999998</v>
          </cell>
        </row>
        <row r="4697">
          <cell r="B4697">
            <v>38258</v>
          </cell>
          <cell r="C4697">
            <v>2600.64</v>
          </cell>
        </row>
        <row r="4698">
          <cell r="B4698">
            <v>38259</v>
          </cell>
          <cell r="C4698">
            <v>2596.2800000000002</v>
          </cell>
        </row>
        <row r="4699">
          <cell r="B4699">
            <v>38260</v>
          </cell>
          <cell r="C4699">
            <v>2595.17</v>
          </cell>
        </row>
        <row r="4700">
          <cell r="B4700">
            <v>38261</v>
          </cell>
          <cell r="C4700">
            <v>2608.3000000000002</v>
          </cell>
        </row>
        <row r="4701">
          <cell r="B4701">
            <v>38262</v>
          </cell>
          <cell r="C4701">
            <v>2630.81</v>
          </cell>
        </row>
        <row r="4702">
          <cell r="B4702">
            <v>38263</v>
          </cell>
          <cell r="C4702">
            <v>2630.81</v>
          </cell>
        </row>
        <row r="4703">
          <cell r="B4703">
            <v>38264</v>
          </cell>
          <cell r="C4703">
            <v>2630.81</v>
          </cell>
        </row>
        <row r="4704">
          <cell r="B4704">
            <v>38265</v>
          </cell>
          <cell r="C4704">
            <v>2629.65</v>
          </cell>
        </row>
        <row r="4705">
          <cell r="B4705">
            <v>38266</v>
          </cell>
          <cell r="C4705">
            <v>2608.36</v>
          </cell>
        </row>
        <row r="4706">
          <cell r="B4706">
            <v>38267</v>
          </cell>
          <cell r="C4706">
            <v>2603.34</v>
          </cell>
        </row>
        <row r="4707">
          <cell r="B4707">
            <v>38268</v>
          </cell>
          <cell r="C4707">
            <v>2601.6999999999998</v>
          </cell>
        </row>
        <row r="4708">
          <cell r="B4708">
            <v>38269</v>
          </cell>
          <cell r="C4708">
            <v>2583.7399999999998</v>
          </cell>
        </row>
        <row r="4709">
          <cell r="B4709">
            <v>38270</v>
          </cell>
          <cell r="C4709">
            <v>2583.7399999999998</v>
          </cell>
        </row>
        <row r="4710">
          <cell r="B4710">
            <v>38271</v>
          </cell>
          <cell r="C4710">
            <v>2583.7399999999998</v>
          </cell>
        </row>
        <row r="4711">
          <cell r="B4711">
            <v>38272</v>
          </cell>
          <cell r="C4711">
            <v>2583.7399999999998</v>
          </cell>
        </row>
        <row r="4712">
          <cell r="B4712">
            <v>38273</v>
          </cell>
          <cell r="C4712">
            <v>2558.04</v>
          </cell>
        </row>
        <row r="4713">
          <cell r="B4713">
            <v>38274</v>
          </cell>
          <cell r="C4713">
            <v>2553.0700000000002</v>
          </cell>
        </row>
        <row r="4714">
          <cell r="B4714">
            <v>38275</v>
          </cell>
          <cell r="C4714">
            <v>2549.1</v>
          </cell>
        </row>
        <row r="4715">
          <cell r="B4715">
            <v>38276</v>
          </cell>
          <cell r="C4715">
            <v>2562.56</v>
          </cell>
        </row>
        <row r="4716">
          <cell r="B4716">
            <v>38277</v>
          </cell>
          <cell r="C4716">
            <v>2562.56</v>
          </cell>
        </row>
        <row r="4717">
          <cell r="B4717">
            <v>38278</v>
          </cell>
          <cell r="C4717">
            <v>2562.56</v>
          </cell>
        </row>
        <row r="4718">
          <cell r="B4718">
            <v>38279</v>
          </cell>
          <cell r="C4718">
            <v>2562.56</v>
          </cell>
        </row>
        <row r="4719">
          <cell r="B4719">
            <v>38280</v>
          </cell>
          <cell r="C4719">
            <v>2556.1799999999998</v>
          </cell>
        </row>
        <row r="4720">
          <cell r="B4720">
            <v>38281</v>
          </cell>
          <cell r="C4720">
            <v>2561.33</v>
          </cell>
        </row>
        <row r="4721">
          <cell r="B4721">
            <v>38282</v>
          </cell>
          <cell r="C4721">
            <v>2555.2600000000002</v>
          </cell>
        </row>
        <row r="4722">
          <cell r="B4722">
            <v>38283</v>
          </cell>
          <cell r="C4722">
            <v>2553.02</v>
          </cell>
        </row>
        <row r="4723">
          <cell r="B4723">
            <v>38284</v>
          </cell>
          <cell r="C4723">
            <v>2553.02</v>
          </cell>
        </row>
        <row r="4724">
          <cell r="B4724">
            <v>38285</v>
          </cell>
          <cell r="C4724">
            <v>2553.02</v>
          </cell>
        </row>
        <row r="4725">
          <cell r="B4725">
            <v>38286</v>
          </cell>
          <cell r="C4725">
            <v>2568.11</v>
          </cell>
        </row>
        <row r="4726">
          <cell r="B4726">
            <v>38287</v>
          </cell>
          <cell r="C4726">
            <v>2582.39</v>
          </cell>
        </row>
        <row r="4727">
          <cell r="B4727">
            <v>38288</v>
          </cell>
          <cell r="C4727">
            <v>2579.59</v>
          </cell>
        </row>
        <row r="4728">
          <cell r="B4728">
            <v>38289</v>
          </cell>
          <cell r="C4728">
            <v>2585.8000000000002</v>
          </cell>
        </row>
        <row r="4729">
          <cell r="B4729">
            <v>38290</v>
          </cell>
          <cell r="C4729">
            <v>2575.19</v>
          </cell>
        </row>
        <row r="4730">
          <cell r="B4730">
            <v>38291</v>
          </cell>
          <cell r="C4730">
            <v>2575.19</v>
          </cell>
        </row>
        <row r="4731">
          <cell r="B4731">
            <v>38292</v>
          </cell>
          <cell r="C4731">
            <v>2575.19</v>
          </cell>
        </row>
        <row r="4732">
          <cell r="B4732">
            <v>38293</v>
          </cell>
          <cell r="C4732">
            <v>2575.19</v>
          </cell>
        </row>
        <row r="4733">
          <cell r="B4733">
            <v>38294</v>
          </cell>
          <cell r="C4733">
            <v>2568.08</v>
          </cell>
        </row>
        <row r="4734">
          <cell r="B4734">
            <v>38295</v>
          </cell>
          <cell r="C4734">
            <v>2561.2800000000002</v>
          </cell>
        </row>
        <row r="4735">
          <cell r="B4735">
            <v>38296</v>
          </cell>
          <cell r="C4735">
            <v>2550.37</v>
          </cell>
        </row>
        <row r="4736">
          <cell r="B4736">
            <v>38297</v>
          </cell>
          <cell r="C4736">
            <v>2547.79</v>
          </cell>
        </row>
        <row r="4737">
          <cell r="B4737">
            <v>38298</v>
          </cell>
          <cell r="C4737">
            <v>2547.79</v>
          </cell>
        </row>
        <row r="4738">
          <cell r="B4738">
            <v>38299</v>
          </cell>
          <cell r="C4738">
            <v>2547.79</v>
          </cell>
        </row>
        <row r="4739">
          <cell r="B4739">
            <v>38300</v>
          </cell>
          <cell r="C4739">
            <v>2544.65</v>
          </cell>
        </row>
        <row r="4740">
          <cell r="B4740">
            <v>38301</v>
          </cell>
          <cell r="C4740">
            <v>2542.1999999999998</v>
          </cell>
        </row>
        <row r="4741">
          <cell r="B4741">
            <v>38302</v>
          </cell>
          <cell r="C4741">
            <v>2540.4699999999998</v>
          </cell>
        </row>
        <row r="4742">
          <cell r="B4742">
            <v>38303</v>
          </cell>
          <cell r="C4742">
            <v>2540.4699999999998</v>
          </cell>
        </row>
        <row r="4743">
          <cell r="B4743">
            <v>38304</v>
          </cell>
          <cell r="C4743">
            <v>2541.98</v>
          </cell>
        </row>
        <row r="4744">
          <cell r="B4744">
            <v>38305</v>
          </cell>
          <cell r="C4744">
            <v>2541.98</v>
          </cell>
        </row>
        <row r="4745">
          <cell r="B4745">
            <v>38306</v>
          </cell>
          <cell r="C4745">
            <v>2541.98</v>
          </cell>
        </row>
        <row r="4746">
          <cell r="B4746">
            <v>38307</v>
          </cell>
          <cell r="C4746">
            <v>2541.98</v>
          </cell>
        </row>
        <row r="4747">
          <cell r="B4747">
            <v>38308</v>
          </cell>
          <cell r="C4747">
            <v>2535.89</v>
          </cell>
        </row>
        <row r="4748">
          <cell r="B4748">
            <v>38309</v>
          </cell>
          <cell r="C4748">
            <v>2523.41</v>
          </cell>
        </row>
        <row r="4749">
          <cell r="B4749">
            <v>38310</v>
          </cell>
          <cell r="C4749">
            <v>2515.3200000000002</v>
          </cell>
        </row>
        <row r="4750">
          <cell r="B4750">
            <v>38311</v>
          </cell>
          <cell r="C4750">
            <v>2517.86</v>
          </cell>
        </row>
        <row r="4751">
          <cell r="B4751">
            <v>38312</v>
          </cell>
          <cell r="C4751">
            <v>2517.86</v>
          </cell>
        </row>
        <row r="4752">
          <cell r="B4752">
            <v>38313</v>
          </cell>
          <cell r="C4752">
            <v>2517.86</v>
          </cell>
        </row>
        <row r="4753">
          <cell r="B4753">
            <v>38314</v>
          </cell>
          <cell r="C4753">
            <v>2521.81</v>
          </cell>
        </row>
        <row r="4754">
          <cell r="B4754">
            <v>38315</v>
          </cell>
          <cell r="C4754">
            <v>2509.79</v>
          </cell>
        </row>
        <row r="4755">
          <cell r="B4755">
            <v>38316</v>
          </cell>
          <cell r="C4755">
            <v>2501.88</v>
          </cell>
        </row>
        <row r="4756">
          <cell r="B4756">
            <v>38317</v>
          </cell>
          <cell r="C4756">
            <v>2501.88</v>
          </cell>
        </row>
        <row r="4757">
          <cell r="B4757">
            <v>38318</v>
          </cell>
          <cell r="C4757">
            <v>2484.36</v>
          </cell>
        </row>
        <row r="4758">
          <cell r="B4758">
            <v>38319</v>
          </cell>
          <cell r="C4758">
            <v>2484.36</v>
          </cell>
        </row>
        <row r="4759">
          <cell r="B4759">
            <v>38320</v>
          </cell>
          <cell r="C4759">
            <v>2484.36</v>
          </cell>
        </row>
        <row r="4760">
          <cell r="B4760">
            <v>38321</v>
          </cell>
          <cell r="C4760">
            <v>2479.1</v>
          </cell>
        </row>
        <row r="4761">
          <cell r="B4761">
            <v>38322</v>
          </cell>
          <cell r="C4761">
            <v>2479.1799999999998</v>
          </cell>
        </row>
        <row r="4762">
          <cell r="B4762">
            <v>38323</v>
          </cell>
          <cell r="C4762">
            <v>2472.12</v>
          </cell>
        </row>
        <row r="4763">
          <cell r="B4763">
            <v>38324</v>
          </cell>
          <cell r="C4763">
            <v>2481.9299999999998</v>
          </cell>
        </row>
        <row r="4764">
          <cell r="B4764">
            <v>38325</v>
          </cell>
          <cell r="C4764">
            <v>2475.23</v>
          </cell>
        </row>
        <row r="4765">
          <cell r="B4765">
            <v>38326</v>
          </cell>
          <cell r="C4765">
            <v>2475.23</v>
          </cell>
        </row>
        <row r="4766">
          <cell r="B4766">
            <v>38327</v>
          </cell>
          <cell r="C4766">
            <v>2475.23</v>
          </cell>
        </row>
        <row r="4767">
          <cell r="B4767">
            <v>38328</v>
          </cell>
          <cell r="C4767">
            <v>2466.71</v>
          </cell>
        </row>
        <row r="4768">
          <cell r="B4768">
            <v>38329</v>
          </cell>
          <cell r="C4768">
            <v>2455.12</v>
          </cell>
        </row>
        <row r="4769">
          <cell r="B4769">
            <v>38330</v>
          </cell>
          <cell r="C4769">
            <v>2455.12</v>
          </cell>
        </row>
        <row r="4770">
          <cell r="B4770">
            <v>38331</v>
          </cell>
          <cell r="C4770">
            <v>2464.19</v>
          </cell>
        </row>
        <row r="4771">
          <cell r="B4771">
            <v>38332</v>
          </cell>
          <cell r="C4771">
            <v>2440.7199999999998</v>
          </cell>
        </row>
        <row r="4772">
          <cell r="B4772">
            <v>38333</v>
          </cell>
          <cell r="C4772">
            <v>2440.7199999999998</v>
          </cell>
        </row>
        <row r="4773">
          <cell r="B4773">
            <v>38334</v>
          </cell>
          <cell r="C4773">
            <v>2440.7199999999998</v>
          </cell>
        </row>
        <row r="4774">
          <cell r="B4774">
            <v>38335</v>
          </cell>
          <cell r="C4774">
            <v>2416.29</v>
          </cell>
        </row>
        <row r="4775">
          <cell r="B4775">
            <v>38336</v>
          </cell>
          <cell r="C4775">
            <v>2385.1</v>
          </cell>
        </row>
        <row r="4776">
          <cell r="B4776">
            <v>38337</v>
          </cell>
          <cell r="C4776">
            <v>2376.37</v>
          </cell>
        </row>
        <row r="4777">
          <cell r="B4777">
            <v>38338</v>
          </cell>
          <cell r="C4777">
            <v>2365.75</v>
          </cell>
        </row>
        <row r="4778">
          <cell r="B4778">
            <v>38339</v>
          </cell>
          <cell r="C4778">
            <v>2361.46</v>
          </cell>
        </row>
        <row r="4779">
          <cell r="B4779">
            <v>38340</v>
          </cell>
          <cell r="C4779">
            <v>2361.46</v>
          </cell>
        </row>
        <row r="4780">
          <cell r="B4780">
            <v>38341</v>
          </cell>
          <cell r="C4780">
            <v>2361.46</v>
          </cell>
        </row>
        <row r="4781">
          <cell r="B4781">
            <v>38342</v>
          </cell>
          <cell r="C4781">
            <v>2329.79</v>
          </cell>
        </row>
        <row r="4782">
          <cell r="B4782">
            <v>38343</v>
          </cell>
          <cell r="C4782">
            <v>2316.12</v>
          </cell>
        </row>
        <row r="4783">
          <cell r="B4783">
            <v>38344</v>
          </cell>
          <cell r="C4783">
            <v>2381.0300000000002</v>
          </cell>
        </row>
        <row r="4784">
          <cell r="B4784">
            <v>38345</v>
          </cell>
          <cell r="C4784">
            <v>2404.4</v>
          </cell>
        </row>
        <row r="4785">
          <cell r="B4785">
            <v>38346</v>
          </cell>
          <cell r="C4785">
            <v>2375.9899999999998</v>
          </cell>
        </row>
        <row r="4786">
          <cell r="B4786">
            <v>38347</v>
          </cell>
          <cell r="C4786">
            <v>2375.9899999999998</v>
          </cell>
        </row>
        <row r="4787">
          <cell r="B4787">
            <v>38348</v>
          </cell>
          <cell r="C4787">
            <v>2375.9899999999998</v>
          </cell>
        </row>
        <row r="4788">
          <cell r="B4788">
            <v>38349</v>
          </cell>
          <cell r="C4788">
            <v>2385.3200000000002</v>
          </cell>
        </row>
        <row r="4789">
          <cell r="B4789">
            <v>38350</v>
          </cell>
          <cell r="C4789">
            <v>2415.37</v>
          </cell>
        </row>
        <row r="4790">
          <cell r="B4790">
            <v>38351</v>
          </cell>
          <cell r="C4790">
            <v>2412.1</v>
          </cell>
        </row>
        <row r="4791">
          <cell r="B4791">
            <v>38352</v>
          </cell>
          <cell r="C4791">
            <v>2389.75</v>
          </cell>
        </row>
        <row r="4792">
          <cell r="B4792">
            <v>38353</v>
          </cell>
          <cell r="C4792">
            <v>2389.75</v>
          </cell>
        </row>
        <row r="4793">
          <cell r="B4793">
            <v>38354</v>
          </cell>
          <cell r="C4793">
            <v>2389.75</v>
          </cell>
        </row>
        <row r="4794">
          <cell r="B4794">
            <v>38355</v>
          </cell>
          <cell r="C4794">
            <v>2389.75</v>
          </cell>
        </row>
        <row r="4795">
          <cell r="B4795">
            <v>38356</v>
          </cell>
          <cell r="C4795">
            <v>2338.84</v>
          </cell>
        </row>
        <row r="4796">
          <cell r="B4796">
            <v>38357</v>
          </cell>
          <cell r="C4796">
            <v>2315.4499999999998</v>
          </cell>
        </row>
        <row r="4797">
          <cell r="B4797">
            <v>38358</v>
          </cell>
          <cell r="C4797">
            <v>2344.4499999999998</v>
          </cell>
        </row>
        <row r="4798">
          <cell r="B4798">
            <v>38359</v>
          </cell>
          <cell r="C4798">
            <v>2386.67</v>
          </cell>
        </row>
        <row r="4799">
          <cell r="B4799">
            <v>38360</v>
          </cell>
          <cell r="C4799">
            <v>2358.54</v>
          </cell>
        </row>
        <row r="4800">
          <cell r="B4800">
            <v>38361</v>
          </cell>
          <cell r="C4800">
            <v>2358.54</v>
          </cell>
        </row>
        <row r="4801">
          <cell r="B4801">
            <v>38362</v>
          </cell>
          <cell r="C4801">
            <v>2358.54</v>
          </cell>
        </row>
        <row r="4802">
          <cell r="B4802">
            <v>38363</v>
          </cell>
          <cell r="C4802">
            <v>2358.54</v>
          </cell>
        </row>
        <row r="4803">
          <cell r="B4803">
            <v>38364</v>
          </cell>
          <cell r="C4803">
            <v>2380.96</v>
          </cell>
        </row>
        <row r="4804">
          <cell r="B4804">
            <v>38365</v>
          </cell>
          <cell r="C4804">
            <v>2358.64</v>
          </cell>
        </row>
        <row r="4805">
          <cell r="B4805">
            <v>38366</v>
          </cell>
          <cell r="C4805">
            <v>2340.42</v>
          </cell>
        </row>
        <row r="4806">
          <cell r="B4806">
            <v>38367</v>
          </cell>
          <cell r="C4806">
            <v>2351.23</v>
          </cell>
        </row>
        <row r="4807">
          <cell r="B4807">
            <v>38368</v>
          </cell>
          <cell r="C4807">
            <v>2351.23</v>
          </cell>
        </row>
        <row r="4808">
          <cell r="B4808">
            <v>38369</v>
          </cell>
          <cell r="C4808">
            <v>2351.23</v>
          </cell>
        </row>
        <row r="4809">
          <cell r="B4809">
            <v>38370</v>
          </cell>
          <cell r="C4809">
            <v>2351.23</v>
          </cell>
        </row>
        <row r="4810">
          <cell r="B4810">
            <v>38371</v>
          </cell>
          <cell r="C4810">
            <v>2371.77</v>
          </cell>
        </row>
        <row r="4811">
          <cell r="B4811">
            <v>38372</v>
          </cell>
          <cell r="C4811">
            <v>2363.69</v>
          </cell>
        </row>
        <row r="4812">
          <cell r="B4812">
            <v>38373</v>
          </cell>
          <cell r="C4812">
            <v>2381.54</v>
          </cell>
        </row>
        <row r="4813">
          <cell r="B4813">
            <v>38374</v>
          </cell>
          <cell r="C4813">
            <v>2373.86</v>
          </cell>
        </row>
        <row r="4814">
          <cell r="B4814">
            <v>38375</v>
          </cell>
          <cell r="C4814">
            <v>2373.86</v>
          </cell>
        </row>
        <row r="4815">
          <cell r="B4815">
            <v>38376</v>
          </cell>
          <cell r="C4815">
            <v>2373.86</v>
          </cell>
        </row>
        <row r="4816">
          <cell r="B4816">
            <v>38377</v>
          </cell>
          <cell r="C4816">
            <v>2370.77</v>
          </cell>
        </row>
        <row r="4817">
          <cell r="B4817">
            <v>38378</v>
          </cell>
          <cell r="C4817">
            <v>2370.08</v>
          </cell>
        </row>
        <row r="4818">
          <cell r="B4818">
            <v>38379</v>
          </cell>
          <cell r="C4818">
            <v>2370.9499999999998</v>
          </cell>
        </row>
        <row r="4819">
          <cell r="B4819">
            <v>38380</v>
          </cell>
          <cell r="C4819">
            <v>2372.63</v>
          </cell>
        </row>
        <row r="4820">
          <cell r="B4820">
            <v>38381</v>
          </cell>
          <cell r="C4820">
            <v>2367.7600000000002</v>
          </cell>
        </row>
        <row r="4821">
          <cell r="B4821">
            <v>38382</v>
          </cell>
          <cell r="C4821">
            <v>2367.7600000000002</v>
          </cell>
        </row>
        <row r="4822">
          <cell r="B4822">
            <v>38383</v>
          </cell>
          <cell r="C4822">
            <v>2367.7600000000002</v>
          </cell>
        </row>
        <row r="4823">
          <cell r="B4823">
            <v>38384</v>
          </cell>
          <cell r="C4823">
            <v>2363.75</v>
          </cell>
        </row>
        <row r="4824">
          <cell r="B4824">
            <v>38385</v>
          </cell>
          <cell r="C4824">
            <v>2358.16</v>
          </cell>
        </row>
        <row r="4825">
          <cell r="B4825">
            <v>38386</v>
          </cell>
          <cell r="C4825">
            <v>2364.13</v>
          </cell>
        </row>
        <row r="4826">
          <cell r="B4826">
            <v>38387</v>
          </cell>
          <cell r="C4826">
            <v>2365.08</v>
          </cell>
        </row>
        <row r="4827">
          <cell r="B4827">
            <v>38388</v>
          </cell>
          <cell r="C4827">
            <v>2361.92</v>
          </cell>
        </row>
        <row r="4828">
          <cell r="B4828">
            <v>38389</v>
          </cell>
          <cell r="C4828">
            <v>2361.92</v>
          </cell>
        </row>
        <row r="4829">
          <cell r="B4829">
            <v>38390</v>
          </cell>
          <cell r="C4829">
            <v>2361.92</v>
          </cell>
        </row>
        <row r="4830">
          <cell r="B4830">
            <v>38391</v>
          </cell>
          <cell r="C4830">
            <v>2365.79</v>
          </cell>
        </row>
        <row r="4831">
          <cell r="B4831">
            <v>38392</v>
          </cell>
          <cell r="C4831">
            <v>2364.16</v>
          </cell>
        </row>
        <row r="4832">
          <cell r="B4832">
            <v>38393</v>
          </cell>
          <cell r="C4832">
            <v>2358.61</v>
          </cell>
        </row>
        <row r="4833">
          <cell r="B4833">
            <v>38394</v>
          </cell>
          <cell r="C4833">
            <v>2344.94</v>
          </cell>
        </row>
        <row r="4834">
          <cell r="B4834">
            <v>38395</v>
          </cell>
          <cell r="C4834">
            <v>2346.04</v>
          </cell>
        </row>
        <row r="4835">
          <cell r="B4835">
            <v>38396</v>
          </cell>
          <cell r="C4835">
            <v>2346.04</v>
          </cell>
        </row>
        <row r="4836">
          <cell r="B4836">
            <v>38397</v>
          </cell>
          <cell r="C4836">
            <v>2346.04</v>
          </cell>
        </row>
        <row r="4837">
          <cell r="B4837">
            <v>38398</v>
          </cell>
          <cell r="C4837">
            <v>2338.27</v>
          </cell>
        </row>
        <row r="4838">
          <cell r="B4838">
            <v>38399</v>
          </cell>
          <cell r="C4838">
            <v>2330.62</v>
          </cell>
        </row>
        <row r="4839">
          <cell r="B4839">
            <v>38400</v>
          </cell>
          <cell r="C4839">
            <v>2331.6999999999998</v>
          </cell>
        </row>
        <row r="4840">
          <cell r="B4840">
            <v>38401</v>
          </cell>
          <cell r="C4840">
            <v>2327.4499999999998</v>
          </cell>
        </row>
        <row r="4841">
          <cell r="B4841">
            <v>38402</v>
          </cell>
          <cell r="C4841">
            <v>2318.12</v>
          </cell>
        </row>
        <row r="4842">
          <cell r="B4842">
            <v>38403</v>
          </cell>
          <cell r="C4842">
            <v>2318.12</v>
          </cell>
        </row>
        <row r="4843">
          <cell r="B4843">
            <v>38404</v>
          </cell>
          <cell r="C4843">
            <v>2318.12</v>
          </cell>
        </row>
        <row r="4844">
          <cell r="B4844">
            <v>38405</v>
          </cell>
          <cell r="C4844">
            <v>2318.12</v>
          </cell>
        </row>
        <row r="4845">
          <cell r="B4845">
            <v>38406</v>
          </cell>
          <cell r="C4845">
            <v>2311.83</v>
          </cell>
        </row>
        <row r="4846">
          <cell r="B4846">
            <v>38407</v>
          </cell>
          <cell r="C4846">
            <v>2308.58</v>
          </cell>
        </row>
        <row r="4847">
          <cell r="B4847">
            <v>38408</v>
          </cell>
          <cell r="C4847">
            <v>2308.6999999999998</v>
          </cell>
        </row>
        <row r="4848">
          <cell r="B4848">
            <v>38409</v>
          </cell>
          <cell r="C4848">
            <v>2323.77</v>
          </cell>
        </row>
        <row r="4849">
          <cell r="B4849">
            <v>38410</v>
          </cell>
          <cell r="C4849">
            <v>2323.77</v>
          </cell>
        </row>
        <row r="4850">
          <cell r="B4850">
            <v>38411</v>
          </cell>
          <cell r="C4850">
            <v>2323.77</v>
          </cell>
        </row>
        <row r="4851">
          <cell r="B4851">
            <v>38412</v>
          </cell>
          <cell r="C4851">
            <v>2327.98</v>
          </cell>
        </row>
        <row r="4852">
          <cell r="B4852">
            <v>38413</v>
          </cell>
          <cell r="C4852">
            <v>2329.67</v>
          </cell>
        </row>
        <row r="4853">
          <cell r="B4853">
            <v>38414</v>
          </cell>
          <cell r="C4853">
            <v>2333.65</v>
          </cell>
        </row>
        <row r="4854">
          <cell r="B4854">
            <v>38415</v>
          </cell>
          <cell r="C4854">
            <v>2333.6999999999998</v>
          </cell>
        </row>
        <row r="4855">
          <cell r="B4855">
            <v>38416</v>
          </cell>
          <cell r="C4855">
            <v>2338.9299999999998</v>
          </cell>
        </row>
        <row r="4856">
          <cell r="B4856">
            <v>38417</v>
          </cell>
          <cell r="C4856">
            <v>2338.9299999999998</v>
          </cell>
        </row>
        <row r="4857">
          <cell r="B4857">
            <v>38418</v>
          </cell>
          <cell r="C4857">
            <v>2338.9299999999998</v>
          </cell>
        </row>
        <row r="4858">
          <cell r="B4858">
            <v>38419</v>
          </cell>
          <cell r="C4858">
            <v>2324.89</v>
          </cell>
        </row>
        <row r="4859">
          <cell r="B4859">
            <v>38420</v>
          </cell>
          <cell r="C4859">
            <v>2325.69</v>
          </cell>
        </row>
        <row r="4860">
          <cell r="B4860">
            <v>38421</v>
          </cell>
          <cell r="C4860">
            <v>2334.11</v>
          </cell>
        </row>
        <row r="4861">
          <cell r="B4861">
            <v>38422</v>
          </cell>
          <cell r="C4861">
            <v>2340.34</v>
          </cell>
        </row>
        <row r="4862">
          <cell r="B4862">
            <v>38423</v>
          </cell>
          <cell r="C4862">
            <v>2332.7199999999998</v>
          </cell>
        </row>
        <row r="4863">
          <cell r="B4863">
            <v>38424</v>
          </cell>
          <cell r="C4863">
            <v>2332.7199999999998</v>
          </cell>
        </row>
        <row r="4864">
          <cell r="B4864">
            <v>38425</v>
          </cell>
          <cell r="C4864">
            <v>2332.7199999999998</v>
          </cell>
        </row>
        <row r="4865">
          <cell r="B4865">
            <v>38426</v>
          </cell>
          <cell r="C4865">
            <v>2346.71</v>
          </cell>
        </row>
        <row r="4866">
          <cell r="B4866">
            <v>38427</v>
          </cell>
          <cell r="C4866">
            <v>2362.36</v>
          </cell>
        </row>
        <row r="4867">
          <cell r="B4867">
            <v>38428</v>
          </cell>
          <cell r="C4867">
            <v>2386.4699999999998</v>
          </cell>
        </row>
        <row r="4868">
          <cell r="B4868">
            <v>38429</v>
          </cell>
          <cell r="C4868">
            <v>2374.46</v>
          </cell>
        </row>
        <row r="4869">
          <cell r="B4869">
            <v>38430</v>
          </cell>
          <cell r="C4869">
            <v>2371.4299999999998</v>
          </cell>
        </row>
        <row r="4870">
          <cell r="B4870">
            <v>38431</v>
          </cell>
          <cell r="C4870">
            <v>2371.4299999999998</v>
          </cell>
        </row>
        <row r="4871">
          <cell r="B4871">
            <v>38432</v>
          </cell>
          <cell r="C4871">
            <v>2371.4299999999998</v>
          </cell>
        </row>
        <row r="4872">
          <cell r="B4872">
            <v>38433</v>
          </cell>
          <cell r="C4872">
            <v>2371.4299999999998</v>
          </cell>
        </row>
        <row r="4873">
          <cell r="B4873">
            <v>38434</v>
          </cell>
          <cell r="C4873">
            <v>2361.7800000000002</v>
          </cell>
        </row>
        <row r="4874">
          <cell r="B4874">
            <v>38435</v>
          </cell>
          <cell r="C4874">
            <v>2382.3000000000002</v>
          </cell>
        </row>
        <row r="4875">
          <cell r="B4875">
            <v>38436</v>
          </cell>
          <cell r="C4875">
            <v>2382.3000000000002</v>
          </cell>
        </row>
        <row r="4876">
          <cell r="B4876">
            <v>38437</v>
          </cell>
          <cell r="C4876">
            <v>2382.3000000000002</v>
          </cell>
        </row>
        <row r="4877">
          <cell r="B4877">
            <v>38438</v>
          </cell>
          <cell r="C4877">
            <v>2382.3000000000002</v>
          </cell>
        </row>
        <row r="4878">
          <cell r="B4878">
            <v>38439</v>
          </cell>
          <cell r="C4878">
            <v>2382.3000000000002</v>
          </cell>
        </row>
        <row r="4879">
          <cell r="B4879">
            <v>38440</v>
          </cell>
          <cell r="C4879">
            <v>2397.25</v>
          </cell>
        </row>
        <row r="4880">
          <cell r="B4880">
            <v>38441</v>
          </cell>
          <cell r="C4880">
            <v>2393.3200000000002</v>
          </cell>
        </row>
        <row r="4881">
          <cell r="B4881">
            <v>38442</v>
          </cell>
          <cell r="C4881">
            <v>2376.48</v>
          </cell>
        </row>
        <row r="4882">
          <cell r="B4882">
            <v>38443</v>
          </cell>
          <cell r="C4882">
            <v>2363.23</v>
          </cell>
        </row>
        <row r="4883">
          <cell r="B4883">
            <v>38444</v>
          </cell>
          <cell r="C4883">
            <v>2365.98</v>
          </cell>
        </row>
        <row r="4884">
          <cell r="B4884">
            <v>38445</v>
          </cell>
          <cell r="C4884">
            <v>2365.98</v>
          </cell>
        </row>
        <row r="4885">
          <cell r="B4885">
            <v>38446</v>
          </cell>
          <cell r="C4885">
            <v>2365.98</v>
          </cell>
        </row>
        <row r="4886">
          <cell r="B4886">
            <v>38447</v>
          </cell>
          <cell r="C4886">
            <v>2374.4699999999998</v>
          </cell>
        </row>
        <row r="4887">
          <cell r="B4887">
            <v>38448</v>
          </cell>
          <cell r="C4887">
            <v>2369.67</v>
          </cell>
        </row>
        <row r="4888">
          <cell r="B4888">
            <v>38449</v>
          </cell>
          <cell r="C4888">
            <v>2362.2800000000002</v>
          </cell>
        </row>
        <row r="4889">
          <cell r="B4889">
            <v>38450</v>
          </cell>
          <cell r="C4889">
            <v>2353.16</v>
          </cell>
        </row>
        <row r="4890">
          <cell r="B4890">
            <v>38451</v>
          </cell>
          <cell r="C4890">
            <v>2349.8000000000002</v>
          </cell>
        </row>
        <row r="4891">
          <cell r="B4891">
            <v>38452</v>
          </cell>
          <cell r="C4891">
            <v>2349.8000000000002</v>
          </cell>
        </row>
        <row r="4892">
          <cell r="B4892">
            <v>38453</v>
          </cell>
          <cell r="C4892">
            <v>2349.8000000000002</v>
          </cell>
        </row>
        <row r="4893">
          <cell r="B4893">
            <v>38454</v>
          </cell>
          <cell r="C4893">
            <v>2331.9499999999998</v>
          </cell>
        </row>
        <row r="4894">
          <cell r="B4894">
            <v>38455</v>
          </cell>
          <cell r="C4894">
            <v>2335.4</v>
          </cell>
        </row>
        <row r="4895">
          <cell r="B4895">
            <v>38456</v>
          </cell>
          <cell r="C4895">
            <v>2328.7399999999998</v>
          </cell>
        </row>
        <row r="4896">
          <cell r="B4896">
            <v>38457</v>
          </cell>
          <cell r="C4896">
            <v>2346.09</v>
          </cell>
        </row>
        <row r="4897">
          <cell r="B4897">
            <v>38458</v>
          </cell>
          <cell r="C4897">
            <v>2363.96</v>
          </cell>
        </row>
        <row r="4898">
          <cell r="B4898">
            <v>38459</v>
          </cell>
          <cell r="C4898">
            <v>2363.96</v>
          </cell>
        </row>
        <row r="4899">
          <cell r="B4899">
            <v>38460</v>
          </cell>
          <cell r="C4899">
            <v>2363.96</v>
          </cell>
        </row>
        <row r="4900">
          <cell r="B4900">
            <v>38461</v>
          </cell>
          <cell r="C4900">
            <v>2363.3000000000002</v>
          </cell>
        </row>
        <row r="4901">
          <cell r="B4901">
            <v>38462</v>
          </cell>
          <cell r="C4901">
            <v>2355.64</v>
          </cell>
        </row>
        <row r="4902">
          <cell r="B4902">
            <v>38463</v>
          </cell>
          <cell r="C4902">
            <v>2344.4499999999998</v>
          </cell>
        </row>
        <row r="4903">
          <cell r="B4903">
            <v>38464</v>
          </cell>
          <cell r="C4903">
            <v>2336.35</v>
          </cell>
        </row>
        <row r="4904">
          <cell r="B4904">
            <v>38465</v>
          </cell>
          <cell r="C4904">
            <v>2336.25</v>
          </cell>
        </row>
        <row r="4905">
          <cell r="B4905">
            <v>38466</v>
          </cell>
          <cell r="C4905">
            <v>2336.25</v>
          </cell>
        </row>
        <row r="4906">
          <cell r="B4906">
            <v>38467</v>
          </cell>
          <cell r="C4906">
            <v>2336.25</v>
          </cell>
        </row>
        <row r="4907">
          <cell r="B4907">
            <v>38468</v>
          </cell>
          <cell r="C4907">
            <v>2343.9699999999998</v>
          </cell>
        </row>
        <row r="4908">
          <cell r="B4908">
            <v>38469</v>
          </cell>
          <cell r="C4908">
            <v>2342.56</v>
          </cell>
        </row>
        <row r="4909">
          <cell r="B4909">
            <v>38470</v>
          </cell>
          <cell r="C4909">
            <v>2338.0700000000002</v>
          </cell>
        </row>
        <row r="4910">
          <cell r="B4910">
            <v>38471</v>
          </cell>
          <cell r="C4910">
            <v>2344.87</v>
          </cell>
        </row>
        <row r="4911">
          <cell r="B4911">
            <v>38472</v>
          </cell>
          <cell r="C4911">
            <v>2348.3200000000002</v>
          </cell>
        </row>
        <row r="4912">
          <cell r="B4912">
            <v>38473</v>
          </cell>
          <cell r="C4912">
            <v>2348.3200000000002</v>
          </cell>
        </row>
        <row r="4913">
          <cell r="B4913">
            <v>38474</v>
          </cell>
          <cell r="C4913">
            <v>2348.3200000000002</v>
          </cell>
        </row>
        <row r="4914">
          <cell r="B4914">
            <v>38475</v>
          </cell>
          <cell r="C4914">
            <v>2349.59</v>
          </cell>
        </row>
        <row r="4915">
          <cell r="B4915">
            <v>38476</v>
          </cell>
          <cell r="C4915">
            <v>2345.4499999999998</v>
          </cell>
        </row>
        <row r="4916">
          <cell r="B4916">
            <v>38477</v>
          </cell>
          <cell r="C4916">
            <v>2337.08</v>
          </cell>
        </row>
        <row r="4917">
          <cell r="B4917">
            <v>38478</v>
          </cell>
          <cell r="C4917">
            <v>2338.44</v>
          </cell>
        </row>
        <row r="4918">
          <cell r="B4918">
            <v>38479</v>
          </cell>
          <cell r="C4918">
            <v>2339.06</v>
          </cell>
        </row>
        <row r="4919">
          <cell r="B4919">
            <v>38480</v>
          </cell>
          <cell r="C4919">
            <v>2339.06</v>
          </cell>
        </row>
        <row r="4920">
          <cell r="B4920">
            <v>38481</v>
          </cell>
          <cell r="C4920">
            <v>2339.06</v>
          </cell>
        </row>
        <row r="4921">
          <cell r="B4921">
            <v>38482</v>
          </cell>
          <cell r="C4921">
            <v>2339.06</v>
          </cell>
        </row>
        <row r="4922">
          <cell r="B4922">
            <v>38483</v>
          </cell>
          <cell r="C4922">
            <v>2339.77</v>
          </cell>
        </row>
        <row r="4923">
          <cell r="B4923">
            <v>38484</v>
          </cell>
          <cell r="C4923">
            <v>2340.9899999999998</v>
          </cell>
        </row>
        <row r="4924">
          <cell r="B4924">
            <v>38485</v>
          </cell>
          <cell r="C4924">
            <v>2344</v>
          </cell>
        </row>
        <row r="4925">
          <cell r="B4925">
            <v>38486</v>
          </cell>
          <cell r="C4925">
            <v>2348.69</v>
          </cell>
        </row>
        <row r="4926">
          <cell r="B4926">
            <v>38487</v>
          </cell>
          <cell r="C4926">
            <v>2348.69</v>
          </cell>
        </row>
        <row r="4927">
          <cell r="B4927">
            <v>38488</v>
          </cell>
          <cell r="C4927">
            <v>2348.69</v>
          </cell>
        </row>
        <row r="4928">
          <cell r="B4928">
            <v>38489</v>
          </cell>
          <cell r="C4928">
            <v>2347.25</v>
          </cell>
        </row>
        <row r="4929">
          <cell r="B4929">
            <v>38490</v>
          </cell>
          <cell r="C4929">
            <v>2341.7199999999998</v>
          </cell>
        </row>
        <row r="4930">
          <cell r="B4930">
            <v>38491</v>
          </cell>
          <cell r="C4930">
            <v>2339.44</v>
          </cell>
        </row>
        <row r="4931">
          <cell r="B4931">
            <v>38492</v>
          </cell>
          <cell r="C4931">
            <v>2336.9899999999998</v>
          </cell>
        </row>
        <row r="4932">
          <cell r="B4932">
            <v>38493</v>
          </cell>
          <cell r="C4932">
            <v>2337</v>
          </cell>
        </row>
        <row r="4933">
          <cell r="B4933">
            <v>38494</v>
          </cell>
          <cell r="C4933">
            <v>2337</v>
          </cell>
        </row>
        <row r="4934">
          <cell r="B4934">
            <v>38495</v>
          </cell>
          <cell r="C4934">
            <v>2337</v>
          </cell>
        </row>
        <row r="4935">
          <cell r="B4935">
            <v>38496</v>
          </cell>
          <cell r="C4935">
            <v>2329.0500000000002</v>
          </cell>
        </row>
        <row r="4936">
          <cell r="B4936">
            <v>38497</v>
          </cell>
          <cell r="C4936">
            <v>2328.69</v>
          </cell>
        </row>
        <row r="4937">
          <cell r="B4937">
            <v>38498</v>
          </cell>
          <cell r="C4937">
            <v>2329.35</v>
          </cell>
        </row>
        <row r="4938">
          <cell r="B4938">
            <v>38499</v>
          </cell>
          <cell r="C4938">
            <v>2330.79</v>
          </cell>
        </row>
        <row r="4939">
          <cell r="B4939">
            <v>38500</v>
          </cell>
          <cell r="C4939">
            <v>2332.79</v>
          </cell>
        </row>
        <row r="4940">
          <cell r="B4940">
            <v>38501</v>
          </cell>
          <cell r="C4940">
            <v>2332.79</v>
          </cell>
        </row>
        <row r="4941">
          <cell r="B4941">
            <v>38502</v>
          </cell>
          <cell r="C4941">
            <v>2332.79</v>
          </cell>
        </row>
        <row r="4942">
          <cell r="B4942">
            <v>38503</v>
          </cell>
          <cell r="C4942">
            <v>2332.79</v>
          </cell>
        </row>
        <row r="4943">
          <cell r="B4943">
            <v>38504</v>
          </cell>
          <cell r="C4943">
            <v>2338.89</v>
          </cell>
        </row>
        <row r="4944">
          <cell r="B4944">
            <v>38505</v>
          </cell>
          <cell r="C4944">
            <v>2339.67</v>
          </cell>
        </row>
        <row r="4945">
          <cell r="B4945">
            <v>38506</v>
          </cell>
          <cell r="C4945">
            <v>2336.65</v>
          </cell>
        </row>
        <row r="4946">
          <cell r="B4946">
            <v>38507</v>
          </cell>
          <cell r="C4946">
            <v>2330.9299999999998</v>
          </cell>
        </row>
        <row r="4947">
          <cell r="B4947">
            <v>38508</v>
          </cell>
          <cell r="C4947">
            <v>2330.9299999999998</v>
          </cell>
        </row>
        <row r="4948">
          <cell r="B4948">
            <v>38509</v>
          </cell>
          <cell r="C4948">
            <v>2330.9299999999998</v>
          </cell>
        </row>
        <row r="4949">
          <cell r="B4949">
            <v>38510</v>
          </cell>
          <cell r="C4949">
            <v>2330.9299999999998</v>
          </cell>
        </row>
        <row r="4950">
          <cell r="B4950">
            <v>38511</v>
          </cell>
          <cell r="C4950">
            <v>2331.38</v>
          </cell>
        </row>
        <row r="4951">
          <cell r="B4951">
            <v>38512</v>
          </cell>
          <cell r="C4951">
            <v>2347.83</v>
          </cell>
        </row>
        <row r="4952">
          <cell r="B4952">
            <v>38513</v>
          </cell>
          <cell r="C4952">
            <v>2361.41</v>
          </cell>
        </row>
        <row r="4953">
          <cell r="B4953">
            <v>38514</v>
          </cell>
          <cell r="C4953">
            <v>2349.17</v>
          </cell>
        </row>
        <row r="4954">
          <cell r="B4954">
            <v>38515</v>
          </cell>
          <cell r="C4954">
            <v>2349.17</v>
          </cell>
        </row>
        <row r="4955">
          <cell r="B4955">
            <v>38516</v>
          </cell>
          <cell r="C4955">
            <v>2349.17</v>
          </cell>
        </row>
        <row r="4956">
          <cell r="B4956">
            <v>38517</v>
          </cell>
          <cell r="C4956">
            <v>2345.6</v>
          </cell>
        </row>
        <row r="4957">
          <cell r="B4957">
            <v>38518</v>
          </cell>
          <cell r="C4957">
            <v>2334.27</v>
          </cell>
        </row>
        <row r="4958">
          <cell r="B4958">
            <v>38519</v>
          </cell>
          <cell r="C4958">
            <v>2330.33</v>
          </cell>
        </row>
        <row r="4959">
          <cell r="B4959">
            <v>38520</v>
          </cell>
          <cell r="C4959">
            <v>2326.4299999999998</v>
          </cell>
        </row>
        <row r="4960">
          <cell r="B4960">
            <v>38521</v>
          </cell>
          <cell r="C4960">
            <v>2322.0500000000002</v>
          </cell>
        </row>
        <row r="4961">
          <cell r="B4961">
            <v>38522</v>
          </cell>
          <cell r="C4961">
            <v>2322.0500000000002</v>
          </cell>
        </row>
        <row r="4962">
          <cell r="B4962">
            <v>38523</v>
          </cell>
          <cell r="C4962">
            <v>2322.0500000000002</v>
          </cell>
        </row>
        <row r="4963">
          <cell r="B4963">
            <v>38524</v>
          </cell>
          <cell r="C4963">
            <v>2319.11</v>
          </cell>
        </row>
        <row r="4964">
          <cell r="B4964">
            <v>38525</v>
          </cell>
          <cell r="C4964">
            <v>2314.89</v>
          </cell>
        </row>
        <row r="4965">
          <cell r="B4965">
            <v>38526</v>
          </cell>
          <cell r="C4965">
            <v>2316.4499999999998</v>
          </cell>
        </row>
        <row r="4966">
          <cell r="B4966">
            <v>38527</v>
          </cell>
          <cell r="C4966">
            <v>2319.27</v>
          </cell>
        </row>
        <row r="4967">
          <cell r="B4967">
            <v>38528</v>
          </cell>
          <cell r="C4967">
            <v>2320.29</v>
          </cell>
        </row>
        <row r="4968">
          <cell r="B4968">
            <v>38529</v>
          </cell>
          <cell r="C4968">
            <v>2320.29</v>
          </cell>
        </row>
        <row r="4969">
          <cell r="B4969">
            <v>38530</v>
          </cell>
          <cell r="C4969">
            <v>2320.29</v>
          </cell>
        </row>
        <row r="4970">
          <cell r="B4970">
            <v>38531</v>
          </cell>
          <cell r="C4970">
            <v>2323.19</v>
          </cell>
        </row>
        <row r="4971">
          <cell r="B4971">
            <v>38532</v>
          </cell>
          <cell r="C4971">
            <v>2327.9</v>
          </cell>
        </row>
        <row r="4972">
          <cell r="B4972">
            <v>38533</v>
          </cell>
          <cell r="C4972">
            <v>2331.81</v>
          </cell>
        </row>
        <row r="4973">
          <cell r="B4973">
            <v>38534</v>
          </cell>
          <cell r="C4973">
            <v>2324.2199999999998</v>
          </cell>
        </row>
        <row r="4974">
          <cell r="B4974">
            <v>38535</v>
          </cell>
          <cell r="C4974">
            <v>2324.69</v>
          </cell>
        </row>
        <row r="4975">
          <cell r="B4975">
            <v>38536</v>
          </cell>
          <cell r="C4975">
            <v>2324.69</v>
          </cell>
        </row>
        <row r="4976">
          <cell r="B4976">
            <v>38537</v>
          </cell>
          <cell r="C4976">
            <v>2324.69</v>
          </cell>
        </row>
        <row r="4977">
          <cell r="B4977">
            <v>38538</v>
          </cell>
          <cell r="C4977">
            <v>2324.69</v>
          </cell>
        </row>
        <row r="4978">
          <cell r="B4978">
            <v>38539</v>
          </cell>
          <cell r="C4978">
            <v>2338.17</v>
          </cell>
        </row>
        <row r="4979">
          <cell r="B4979">
            <v>38540</v>
          </cell>
          <cell r="C4979">
            <v>2338.86</v>
          </cell>
        </row>
        <row r="4980">
          <cell r="B4980">
            <v>38541</v>
          </cell>
          <cell r="C4980">
            <v>2332.6999999999998</v>
          </cell>
        </row>
        <row r="4981">
          <cell r="B4981">
            <v>38542</v>
          </cell>
          <cell r="C4981">
            <v>2330.7199999999998</v>
          </cell>
        </row>
        <row r="4982">
          <cell r="B4982">
            <v>38543</v>
          </cell>
          <cell r="C4982">
            <v>2330.7199999999998</v>
          </cell>
        </row>
        <row r="4983">
          <cell r="B4983">
            <v>38544</v>
          </cell>
          <cell r="C4983">
            <v>2330.7199999999998</v>
          </cell>
        </row>
        <row r="4984">
          <cell r="B4984">
            <v>38545</v>
          </cell>
          <cell r="C4984">
            <v>2324.37</v>
          </cell>
        </row>
        <row r="4985">
          <cell r="B4985">
            <v>38546</v>
          </cell>
          <cell r="C4985">
            <v>2323.08</v>
          </cell>
        </row>
        <row r="4986">
          <cell r="B4986">
            <v>38547</v>
          </cell>
          <cell r="C4986">
            <v>2326.09</v>
          </cell>
        </row>
        <row r="4987">
          <cell r="B4987">
            <v>38548</v>
          </cell>
          <cell r="C4987">
            <v>2329.4</v>
          </cell>
        </row>
        <row r="4988">
          <cell r="B4988">
            <v>38549</v>
          </cell>
          <cell r="C4988">
            <v>2332.0700000000002</v>
          </cell>
        </row>
        <row r="4989">
          <cell r="B4989">
            <v>38550</v>
          </cell>
          <cell r="C4989">
            <v>2332.0700000000002</v>
          </cell>
        </row>
        <row r="4990">
          <cell r="B4990">
            <v>38551</v>
          </cell>
          <cell r="C4990">
            <v>2332.0700000000002</v>
          </cell>
        </row>
        <row r="4991">
          <cell r="B4991">
            <v>38552</v>
          </cell>
          <cell r="C4991">
            <v>2320.2600000000002</v>
          </cell>
        </row>
        <row r="4992">
          <cell r="B4992">
            <v>38553</v>
          </cell>
          <cell r="C4992">
            <v>2312.73</v>
          </cell>
        </row>
        <row r="4993">
          <cell r="B4993">
            <v>38554</v>
          </cell>
          <cell r="C4993">
            <v>2312.73</v>
          </cell>
        </row>
        <row r="4994">
          <cell r="B4994">
            <v>38555</v>
          </cell>
          <cell r="C4994">
            <v>2312.8200000000002</v>
          </cell>
        </row>
        <row r="4995">
          <cell r="B4995">
            <v>38556</v>
          </cell>
          <cell r="C4995">
            <v>2316.42</v>
          </cell>
        </row>
        <row r="4996">
          <cell r="B4996">
            <v>38557</v>
          </cell>
          <cell r="C4996">
            <v>2316.42</v>
          </cell>
        </row>
        <row r="4997">
          <cell r="B4997">
            <v>38558</v>
          </cell>
          <cell r="C4997">
            <v>2316.42</v>
          </cell>
        </row>
        <row r="4998">
          <cell r="B4998">
            <v>38559</v>
          </cell>
          <cell r="C4998">
            <v>2315.39</v>
          </cell>
        </row>
        <row r="4999">
          <cell r="B4999">
            <v>38560</v>
          </cell>
          <cell r="C4999">
            <v>2316.9299999999998</v>
          </cell>
        </row>
        <row r="5000">
          <cell r="B5000">
            <v>38561</v>
          </cell>
          <cell r="C5000">
            <v>2313.84</v>
          </cell>
        </row>
        <row r="5001">
          <cell r="B5001">
            <v>38562</v>
          </cell>
          <cell r="C5001">
            <v>2311.4299999999998</v>
          </cell>
        </row>
        <row r="5002">
          <cell r="B5002">
            <v>38563</v>
          </cell>
          <cell r="C5002">
            <v>2308.4899999999998</v>
          </cell>
        </row>
        <row r="5003">
          <cell r="B5003">
            <v>38564</v>
          </cell>
          <cell r="C5003">
            <v>2308.4899999999998</v>
          </cell>
        </row>
        <row r="5004">
          <cell r="B5004">
            <v>38565</v>
          </cell>
          <cell r="C5004">
            <v>2308.4899999999998</v>
          </cell>
        </row>
        <row r="5005">
          <cell r="B5005">
            <v>38566</v>
          </cell>
          <cell r="C5005">
            <v>2308.42</v>
          </cell>
        </row>
        <row r="5006">
          <cell r="B5006">
            <v>38567</v>
          </cell>
          <cell r="C5006">
            <v>2305.9499999999998</v>
          </cell>
        </row>
        <row r="5007">
          <cell r="B5007">
            <v>38568</v>
          </cell>
          <cell r="C5007">
            <v>2306.5100000000002</v>
          </cell>
        </row>
        <row r="5008">
          <cell r="B5008">
            <v>38569</v>
          </cell>
          <cell r="C5008">
            <v>2307.4</v>
          </cell>
        </row>
        <row r="5009">
          <cell r="B5009">
            <v>38570</v>
          </cell>
          <cell r="C5009">
            <v>2307.69</v>
          </cell>
        </row>
        <row r="5010">
          <cell r="B5010">
            <v>38571</v>
          </cell>
          <cell r="C5010">
            <v>2307.69</v>
          </cell>
        </row>
        <row r="5011">
          <cell r="B5011">
            <v>38572</v>
          </cell>
          <cell r="C5011">
            <v>2307.69</v>
          </cell>
        </row>
        <row r="5012">
          <cell r="B5012">
            <v>38573</v>
          </cell>
          <cell r="C5012">
            <v>2308.3000000000002</v>
          </cell>
        </row>
        <row r="5013">
          <cell r="B5013">
            <v>38574</v>
          </cell>
          <cell r="C5013">
            <v>2305.63</v>
          </cell>
        </row>
        <row r="5014">
          <cell r="B5014">
            <v>38575</v>
          </cell>
          <cell r="C5014">
            <v>2299.75</v>
          </cell>
        </row>
        <row r="5015">
          <cell r="B5015">
            <v>38576</v>
          </cell>
          <cell r="C5015">
            <v>2313.52</v>
          </cell>
        </row>
        <row r="5016">
          <cell r="B5016">
            <v>38577</v>
          </cell>
          <cell r="C5016">
            <v>2308.38</v>
          </cell>
        </row>
        <row r="5017">
          <cell r="B5017">
            <v>38578</v>
          </cell>
          <cell r="C5017">
            <v>2308.38</v>
          </cell>
        </row>
        <row r="5018">
          <cell r="B5018">
            <v>38579</v>
          </cell>
          <cell r="C5018">
            <v>2308.38</v>
          </cell>
        </row>
        <row r="5019">
          <cell r="B5019">
            <v>38580</v>
          </cell>
          <cell r="C5019">
            <v>2308.38</v>
          </cell>
        </row>
        <row r="5020">
          <cell r="B5020">
            <v>38581</v>
          </cell>
          <cell r="C5020">
            <v>2301.7399999999998</v>
          </cell>
        </row>
        <row r="5021">
          <cell r="B5021">
            <v>38582</v>
          </cell>
          <cell r="C5021">
            <v>2303.1999999999998</v>
          </cell>
        </row>
        <row r="5022">
          <cell r="B5022">
            <v>38583</v>
          </cell>
          <cell r="C5022">
            <v>2307.4499999999998</v>
          </cell>
        </row>
        <row r="5023">
          <cell r="B5023">
            <v>38584</v>
          </cell>
          <cell r="C5023">
            <v>2309.83</v>
          </cell>
        </row>
        <row r="5024">
          <cell r="B5024">
            <v>38585</v>
          </cell>
          <cell r="C5024">
            <v>2309.83</v>
          </cell>
        </row>
        <row r="5025">
          <cell r="B5025">
            <v>38586</v>
          </cell>
          <cell r="C5025">
            <v>2309.83</v>
          </cell>
        </row>
        <row r="5026">
          <cell r="B5026">
            <v>38587</v>
          </cell>
          <cell r="C5026">
            <v>2304.2600000000002</v>
          </cell>
        </row>
        <row r="5027">
          <cell r="B5027">
            <v>38588</v>
          </cell>
          <cell r="C5027">
            <v>2302.59</v>
          </cell>
        </row>
        <row r="5028">
          <cell r="B5028">
            <v>38589</v>
          </cell>
          <cell r="C5028">
            <v>2305.0500000000002</v>
          </cell>
        </row>
        <row r="5029">
          <cell r="B5029">
            <v>38590</v>
          </cell>
          <cell r="C5029">
            <v>2305.87</v>
          </cell>
        </row>
        <row r="5030">
          <cell r="B5030">
            <v>38591</v>
          </cell>
          <cell r="C5030">
            <v>2306.71</v>
          </cell>
        </row>
        <row r="5031">
          <cell r="B5031">
            <v>38592</v>
          </cell>
          <cell r="C5031">
            <v>2306.71</v>
          </cell>
        </row>
        <row r="5032">
          <cell r="B5032">
            <v>38593</v>
          </cell>
          <cell r="C5032">
            <v>2306.71</v>
          </cell>
        </row>
        <row r="5033">
          <cell r="B5033">
            <v>38594</v>
          </cell>
          <cell r="C5033">
            <v>2305.15</v>
          </cell>
        </row>
        <row r="5034">
          <cell r="B5034">
            <v>38595</v>
          </cell>
          <cell r="C5034">
            <v>2304.3000000000002</v>
          </cell>
        </row>
        <row r="5035">
          <cell r="B5035">
            <v>38596</v>
          </cell>
          <cell r="C5035">
            <v>2302.7800000000002</v>
          </cell>
        </row>
        <row r="5036">
          <cell r="B5036">
            <v>38597</v>
          </cell>
          <cell r="C5036">
            <v>2298.85</v>
          </cell>
        </row>
        <row r="5037">
          <cell r="B5037">
            <v>38598</v>
          </cell>
          <cell r="C5037">
            <v>2295.31</v>
          </cell>
        </row>
        <row r="5038">
          <cell r="B5038">
            <v>38599</v>
          </cell>
          <cell r="C5038">
            <v>2295.31</v>
          </cell>
        </row>
        <row r="5039">
          <cell r="B5039">
            <v>38600</v>
          </cell>
          <cell r="C5039">
            <v>2295.31</v>
          </cell>
        </row>
        <row r="5040">
          <cell r="B5040">
            <v>38601</v>
          </cell>
          <cell r="C5040">
            <v>2295.31</v>
          </cell>
        </row>
        <row r="5041">
          <cell r="B5041">
            <v>38602</v>
          </cell>
          <cell r="C5041">
            <v>2286.61</v>
          </cell>
        </row>
        <row r="5042">
          <cell r="B5042">
            <v>38603</v>
          </cell>
          <cell r="C5042">
            <v>2279.9499999999998</v>
          </cell>
        </row>
        <row r="5043">
          <cell r="B5043">
            <v>38604</v>
          </cell>
          <cell r="C5043">
            <v>2289.3000000000002</v>
          </cell>
        </row>
        <row r="5044">
          <cell r="B5044">
            <v>38605</v>
          </cell>
          <cell r="C5044">
            <v>2305.09</v>
          </cell>
        </row>
        <row r="5045">
          <cell r="B5045">
            <v>38606</v>
          </cell>
          <cell r="C5045">
            <v>2305.09</v>
          </cell>
        </row>
        <row r="5046">
          <cell r="B5046">
            <v>38607</v>
          </cell>
          <cell r="C5046">
            <v>2305.09</v>
          </cell>
        </row>
        <row r="5047">
          <cell r="B5047">
            <v>38608</v>
          </cell>
          <cell r="C5047">
            <v>2306.71</v>
          </cell>
        </row>
        <row r="5048">
          <cell r="B5048">
            <v>38609</v>
          </cell>
          <cell r="C5048">
            <v>2295.02</v>
          </cell>
        </row>
        <row r="5049">
          <cell r="B5049">
            <v>38610</v>
          </cell>
          <cell r="C5049">
            <v>2290.02</v>
          </cell>
        </row>
        <row r="5050">
          <cell r="B5050">
            <v>38611</v>
          </cell>
          <cell r="C5050">
            <v>2299.8200000000002</v>
          </cell>
        </row>
        <row r="5051">
          <cell r="B5051">
            <v>38612</v>
          </cell>
          <cell r="C5051">
            <v>2301.9899999999998</v>
          </cell>
        </row>
        <row r="5052">
          <cell r="B5052">
            <v>38613</v>
          </cell>
          <cell r="C5052">
            <v>2301.9899999999998</v>
          </cell>
        </row>
        <row r="5053">
          <cell r="B5053">
            <v>38614</v>
          </cell>
          <cell r="C5053">
            <v>2301.9899999999998</v>
          </cell>
        </row>
        <row r="5054">
          <cell r="B5054">
            <v>38615</v>
          </cell>
          <cell r="C5054">
            <v>2295.5700000000002</v>
          </cell>
        </row>
        <row r="5055">
          <cell r="B5055">
            <v>38616</v>
          </cell>
          <cell r="C5055">
            <v>2300.58</v>
          </cell>
        </row>
        <row r="5056">
          <cell r="B5056">
            <v>38617</v>
          </cell>
          <cell r="C5056">
            <v>2291.0500000000002</v>
          </cell>
        </row>
        <row r="5057">
          <cell r="B5057">
            <v>38618</v>
          </cell>
          <cell r="C5057">
            <v>2292.59</v>
          </cell>
        </row>
        <row r="5058">
          <cell r="B5058">
            <v>38619</v>
          </cell>
          <cell r="C5058">
            <v>2290.0300000000002</v>
          </cell>
        </row>
        <row r="5059">
          <cell r="B5059">
            <v>38620</v>
          </cell>
          <cell r="C5059">
            <v>2290.0300000000002</v>
          </cell>
        </row>
        <row r="5060">
          <cell r="B5060">
            <v>38621</v>
          </cell>
          <cell r="C5060">
            <v>2290.0300000000002</v>
          </cell>
        </row>
        <row r="5061">
          <cell r="B5061">
            <v>38622</v>
          </cell>
          <cell r="C5061">
            <v>2289.1799999999998</v>
          </cell>
        </row>
        <row r="5062">
          <cell r="B5062">
            <v>38623</v>
          </cell>
          <cell r="C5062">
            <v>2290.7399999999998</v>
          </cell>
        </row>
        <row r="5063">
          <cell r="B5063">
            <v>38624</v>
          </cell>
          <cell r="C5063">
            <v>2293.29</v>
          </cell>
        </row>
        <row r="5064">
          <cell r="B5064">
            <v>38625</v>
          </cell>
          <cell r="C5064">
            <v>2289.61</v>
          </cell>
        </row>
        <row r="5065">
          <cell r="B5065">
            <v>38626</v>
          </cell>
          <cell r="C5065">
            <v>2288.2199999999998</v>
          </cell>
        </row>
        <row r="5066">
          <cell r="B5066">
            <v>38627</v>
          </cell>
          <cell r="C5066">
            <v>2288.2199999999998</v>
          </cell>
        </row>
        <row r="5067">
          <cell r="B5067">
            <v>38628</v>
          </cell>
          <cell r="C5067">
            <v>2288.2199999999998</v>
          </cell>
        </row>
        <row r="5068">
          <cell r="B5068">
            <v>38629</v>
          </cell>
          <cell r="C5068">
            <v>2289.13</v>
          </cell>
        </row>
        <row r="5069">
          <cell r="B5069">
            <v>38630</v>
          </cell>
          <cell r="C5069">
            <v>2289.79</v>
          </cell>
        </row>
        <row r="5070">
          <cell r="B5070">
            <v>38631</v>
          </cell>
          <cell r="C5070">
            <v>2294.12</v>
          </cell>
        </row>
        <row r="5071">
          <cell r="B5071">
            <v>38632</v>
          </cell>
          <cell r="C5071">
            <v>2302.79</v>
          </cell>
        </row>
        <row r="5072">
          <cell r="B5072">
            <v>38633</v>
          </cell>
          <cell r="C5072">
            <v>2303.0100000000002</v>
          </cell>
        </row>
        <row r="5073">
          <cell r="B5073">
            <v>38634</v>
          </cell>
          <cell r="C5073">
            <v>2303.0100000000002</v>
          </cell>
        </row>
        <row r="5074">
          <cell r="B5074">
            <v>38635</v>
          </cell>
          <cell r="C5074">
            <v>2303.0100000000002</v>
          </cell>
        </row>
        <row r="5075">
          <cell r="B5075">
            <v>38636</v>
          </cell>
          <cell r="C5075">
            <v>2303.0100000000002</v>
          </cell>
        </row>
        <row r="5076">
          <cell r="B5076">
            <v>38637</v>
          </cell>
          <cell r="C5076">
            <v>2299.94</v>
          </cell>
        </row>
        <row r="5077">
          <cell r="B5077">
            <v>38638</v>
          </cell>
          <cell r="C5077">
            <v>2299.4699999999998</v>
          </cell>
        </row>
        <row r="5078">
          <cell r="B5078">
            <v>38639</v>
          </cell>
          <cell r="C5078">
            <v>2298.9899999999998</v>
          </cell>
        </row>
        <row r="5079">
          <cell r="B5079">
            <v>38640</v>
          </cell>
          <cell r="C5079">
            <v>2294.75</v>
          </cell>
        </row>
        <row r="5080">
          <cell r="B5080">
            <v>38641</v>
          </cell>
          <cell r="C5080">
            <v>2294.75</v>
          </cell>
        </row>
        <row r="5081">
          <cell r="B5081">
            <v>38642</v>
          </cell>
          <cell r="C5081">
            <v>2294.75</v>
          </cell>
        </row>
        <row r="5082">
          <cell r="B5082">
            <v>38643</v>
          </cell>
          <cell r="C5082">
            <v>2294.75</v>
          </cell>
        </row>
        <row r="5083">
          <cell r="B5083">
            <v>38644</v>
          </cell>
          <cell r="C5083">
            <v>2288.69</v>
          </cell>
        </row>
        <row r="5084">
          <cell r="B5084">
            <v>38645</v>
          </cell>
          <cell r="C5084">
            <v>2283.96</v>
          </cell>
        </row>
        <row r="5085">
          <cell r="B5085">
            <v>38646</v>
          </cell>
          <cell r="C5085">
            <v>2289.15</v>
          </cell>
        </row>
        <row r="5086">
          <cell r="B5086">
            <v>38647</v>
          </cell>
          <cell r="C5086">
            <v>2288.69</v>
          </cell>
        </row>
        <row r="5087">
          <cell r="B5087">
            <v>38648</v>
          </cell>
          <cell r="C5087">
            <v>2288.69</v>
          </cell>
        </row>
        <row r="5088">
          <cell r="B5088">
            <v>38649</v>
          </cell>
          <cell r="C5088">
            <v>2288.69</v>
          </cell>
        </row>
        <row r="5089">
          <cell r="B5089">
            <v>38650</v>
          </cell>
          <cell r="C5089">
            <v>2285.37</v>
          </cell>
        </row>
        <row r="5090">
          <cell r="B5090">
            <v>38651</v>
          </cell>
          <cell r="C5090">
            <v>2284.0500000000002</v>
          </cell>
        </row>
        <row r="5091">
          <cell r="B5091">
            <v>38652</v>
          </cell>
          <cell r="C5091">
            <v>2288.52</v>
          </cell>
        </row>
        <row r="5092">
          <cell r="B5092">
            <v>38653</v>
          </cell>
          <cell r="C5092">
            <v>2289.87</v>
          </cell>
        </row>
        <row r="5093">
          <cell r="B5093">
            <v>38654</v>
          </cell>
          <cell r="C5093">
            <v>2289.5700000000002</v>
          </cell>
        </row>
        <row r="5094">
          <cell r="B5094">
            <v>38655</v>
          </cell>
          <cell r="C5094">
            <v>2289.5700000000002</v>
          </cell>
        </row>
        <row r="5095">
          <cell r="B5095">
            <v>38656</v>
          </cell>
          <cell r="C5095">
            <v>2289.5700000000002</v>
          </cell>
        </row>
        <row r="5096">
          <cell r="B5096">
            <v>38657</v>
          </cell>
          <cell r="C5096">
            <v>2287.5100000000002</v>
          </cell>
        </row>
        <row r="5097">
          <cell r="B5097">
            <v>38658</v>
          </cell>
          <cell r="C5097">
            <v>2285.83</v>
          </cell>
        </row>
        <row r="5098">
          <cell r="B5098">
            <v>38659</v>
          </cell>
          <cell r="C5098">
            <v>2285.2399999999998</v>
          </cell>
        </row>
        <row r="5099">
          <cell r="B5099">
            <v>38660</v>
          </cell>
          <cell r="C5099">
            <v>2283.7800000000002</v>
          </cell>
        </row>
        <row r="5100">
          <cell r="B5100">
            <v>38661</v>
          </cell>
          <cell r="C5100">
            <v>2282.7600000000002</v>
          </cell>
        </row>
        <row r="5101">
          <cell r="B5101">
            <v>38662</v>
          </cell>
          <cell r="C5101">
            <v>2282.7600000000002</v>
          </cell>
        </row>
        <row r="5102">
          <cell r="B5102">
            <v>38663</v>
          </cell>
          <cell r="C5102">
            <v>2282.7600000000002</v>
          </cell>
        </row>
        <row r="5103">
          <cell r="B5103">
            <v>38664</v>
          </cell>
          <cell r="C5103">
            <v>2282.7600000000002</v>
          </cell>
        </row>
        <row r="5104">
          <cell r="B5104">
            <v>38665</v>
          </cell>
          <cell r="C5104">
            <v>2282.67</v>
          </cell>
        </row>
        <row r="5105">
          <cell r="B5105">
            <v>38666</v>
          </cell>
          <cell r="C5105">
            <v>2280.94</v>
          </cell>
        </row>
        <row r="5106">
          <cell r="B5106">
            <v>38667</v>
          </cell>
          <cell r="C5106">
            <v>2280.19</v>
          </cell>
        </row>
        <row r="5107">
          <cell r="B5107">
            <v>38668</v>
          </cell>
          <cell r="C5107">
            <v>2280.19</v>
          </cell>
        </row>
        <row r="5108">
          <cell r="B5108">
            <v>38669</v>
          </cell>
          <cell r="C5108">
            <v>2280.19</v>
          </cell>
        </row>
        <row r="5109">
          <cell r="B5109">
            <v>38670</v>
          </cell>
          <cell r="C5109">
            <v>2280.19</v>
          </cell>
        </row>
        <row r="5110">
          <cell r="B5110">
            <v>38671</v>
          </cell>
          <cell r="C5110">
            <v>2280.19</v>
          </cell>
        </row>
        <row r="5111">
          <cell r="B5111">
            <v>38672</v>
          </cell>
          <cell r="C5111">
            <v>2280.4299999999998</v>
          </cell>
        </row>
        <row r="5112">
          <cell r="B5112">
            <v>38673</v>
          </cell>
          <cell r="C5112">
            <v>2278.23</v>
          </cell>
        </row>
        <row r="5113">
          <cell r="B5113">
            <v>38674</v>
          </cell>
          <cell r="C5113">
            <v>2277.9899999999998</v>
          </cell>
        </row>
        <row r="5114">
          <cell r="B5114">
            <v>38675</v>
          </cell>
          <cell r="C5114">
            <v>2277.73</v>
          </cell>
        </row>
        <row r="5115">
          <cell r="B5115">
            <v>38676</v>
          </cell>
          <cell r="C5115">
            <v>2277.73</v>
          </cell>
        </row>
        <row r="5116">
          <cell r="B5116">
            <v>38677</v>
          </cell>
          <cell r="C5116">
            <v>2277.73</v>
          </cell>
        </row>
        <row r="5117">
          <cell r="B5117">
            <v>38678</v>
          </cell>
          <cell r="C5117">
            <v>2276.64</v>
          </cell>
        </row>
        <row r="5118">
          <cell r="B5118">
            <v>38679</v>
          </cell>
          <cell r="C5118">
            <v>2278.48</v>
          </cell>
        </row>
        <row r="5119">
          <cell r="B5119">
            <v>38680</v>
          </cell>
          <cell r="C5119">
            <v>2277.92</v>
          </cell>
        </row>
        <row r="5120">
          <cell r="B5120">
            <v>38681</v>
          </cell>
          <cell r="C5120">
            <v>2277.92</v>
          </cell>
        </row>
        <row r="5121">
          <cell r="B5121">
            <v>38682</v>
          </cell>
          <cell r="C5121">
            <v>2275.4</v>
          </cell>
        </row>
        <row r="5122">
          <cell r="B5122">
            <v>38683</v>
          </cell>
          <cell r="C5122">
            <v>2275.4</v>
          </cell>
        </row>
        <row r="5123">
          <cell r="B5123">
            <v>38684</v>
          </cell>
          <cell r="C5123">
            <v>2275.4</v>
          </cell>
        </row>
        <row r="5124">
          <cell r="B5124">
            <v>38685</v>
          </cell>
          <cell r="C5124">
            <v>2273.08</v>
          </cell>
        </row>
        <row r="5125">
          <cell r="B5125">
            <v>38686</v>
          </cell>
          <cell r="C5125">
            <v>2274.04</v>
          </cell>
        </row>
        <row r="5126">
          <cell r="B5126">
            <v>38687</v>
          </cell>
          <cell r="C5126">
            <v>2274.71</v>
          </cell>
        </row>
        <row r="5127">
          <cell r="B5127">
            <v>38688</v>
          </cell>
          <cell r="C5127">
            <v>2272.9499999999998</v>
          </cell>
        </row>
        <row r="5128">
          <cell r="B5128">
            <v>38689</v>
          </cell>
          <cell r="C5128">
            <v>2274.39</v>
          </cell>
        </row>
        <row r="5129">
          <cell r="B5129">
            <v>38690</v>
          </cell>
          <cell r="C5129">
            <v>2274.39</v>
          </cell>
        </row>
        <row r="5130">
          <cell r="B5130">
            <v>38691</v>
          </cell>
          <cell r="C5130">
            <v>2274.39</v>
          </cell>
        </row>
        <row r="5131">
          <cell r="B5131">
            <v>38692</v>
          </cell>
          <cell r="C5131">
            <v>2274.1</v>
          </cell>
        </row>
        <row r="5132">
          <cell r="B5132">
            <v>38693</v>
          </cell>
          <cell r="C5132">
            <v>2274.19</v>
          </cell>
        </row>
        <row r="5133">
          <cell r="B5133">
            <v>38694</v>
          </cell>
          <cell r="C5133">
            <v>2274.06</v>
          </cell>
        </row>
        <row r="5134">
          <cell r="B5134">
            <v>38695</v>
          </cell>
          <cell r="C5134">
            <v>2274.06</v>
          </cell>
        </row>
        <row r="5135">
          <cell r="B5135">
            <v>38696</v>
          </cell>
          <cell r="C5135">
            <v>2275.09</v>
          </cell>
        </row>
        <row r="5136">
          <cell r="B5136">
            <v>38697</v>
          </cell>
          <cell r="C5136">
            <v>2275.09</v>
          </cell>
        </row>
        <row r="5137">
          <cell r="B5137">
            <v>38698</v>
          </cell>
          <cell r="C5137">
            <v>2275.09</v>
          </cell>
        </row>
        <row r="5138">
          <cell r="B5138">
            <v>38699</v>
          </cell>
          <cell r="C5138">
            <v>2275.4699999999998</v>
          </cell>
        </row>
        <row r="5139">
          <cell r="B5139">
            <v>38700</v>
          </cell>
          <cell r="C5139">
            <v>2275.33</v>
          </cell>
        </row>
        <row r="5140">
          <cell r="B5140">
            <v>38701</v>
          </cell>
          <cell r="C5140">
            <v>2275.4499999999998</v>
          </cell>
        </row>
        <row r="5141">
          <cell r="B5141">
            <v>38702</v>
          </cell>
          <cell r="C5141">
            <v>2276.6999999999998</v>
          </cell>
        </row>
        <row r="5142">
          <cell r="B5142">
            <v>38703</v>
          </cell>
          <cell r="C5142">
            <v>2277.85</v>
          </cell>
        </row>
        <row r="5143">
          <cell r="B5143">
            <v>38704</v>
          </cell>
          <cell r="C5143">
            <v>2277.85</v>
          </cell>
        </row>
        <row r="5144">
          <cell r="B5144">
            <v>38705</v>
          </cell>
          <cell r="C5144">
            <v>2277.85</v>
          </cell>
        </row>
        <row r="5145">
          <cell r="B5145">
            <v>38706</v>
          </cell>
          <cell r="C5145">
            <v>2286.83</v>
          </cell>
        </row>
        <row r="5146">
          <cell r="B5146">
            <v>38707</v>
          </cell>
          <cell r="C5146">
            <v>2286.46</v>
          </cell>
        </row>
        <row r="5147">
          <cell r="B5147">
            <v>38708</v>
          </cell>
          <cell r="C5147">
            <v>2285.61</v>
          </cell>
        </row>
        <row r="5148">
          <cell r="B5148">
            <v>38709</v>
          </cell>
          <cell r="C5148">
            <v>2283.4699999999998</v>
          </cell>
        </row>
        <row r="5149">
          <cell r="B5149">
            <v>38710</v>
          </cell>
          <cell r="C5149">
            <v>2282.36</v>
          </cell>
        </row>
        <row r="5150">
          <cell r="B5150">
            <v>38711</v>
          </cell>
          <cell r="C5150">
            <v>2282.36</v>
          </cell>
        </row>
        <row r="5151">
          <cell r="B5151">
            <v>38712</v>
          </cell>
          <cell r="C5151">
            <v>2282.36</v>
          </cell>
        </row>
        <row r="5152">
          <cell r="B5152">
            <v>38713</v>
          </cell>
          <cell r="C5152">
            <v>2282.36</v>
          </cell>
        </row>
        <row r="5153">
          <cell r="B5153">
            <v>38714</v>
          </cell>
          <cell r="C5153">
            <v>2283.11</v>
          </cell>
        </row>
        <row r="5154">
          <cell r="B5154">
            <v>38715</v>
          </cell>
          <cell r="C5154">
            <v>2282.35</v>
          </cell>
        </row>
        <row r="5155">
          <cell r="B5155">
            <v>38716</v>
          </cell>
          <cell r="C5155">
            <v>2284.2199999999998</v>
          </cell>
        </row>
        <row r="5156">
          <cell r="B5156">
            <v>38717</v>
          </cell>
          <cell r="C5156">
            <v>2284.2199999999998</v>
          </cell>
        </row>
        <row r="5157">
          <cell r="B5157">
            <v>38718</v>
          </cell>
          <cell r="C5157">
            <v>2284.2199999999998</v>
          </cell>
        </row>
        <row r="5158">
          <cell r="B5158">
            <v>38719</v>
          </cell>
          <cell r="C5158">
            <v>2284.2199999999998</v>
          </cell>
        </row>
        <row r="5159">
          <cell r="B5159">
            <v>38720</v>
          </cell>
          <cell r="C5159">
            <v>2284.2199999999998</v>
          </cell>
        </row>
        <row r="5160">
          <cell r="B5160">
            <v>38721</v>
          </cell>
          <cell r="C5160">
            <v>2282.27</v>
          </cell>
        </row>
        <row r="5161">
          <cell r="B5161">
            <v>38722</v>
          </cell>
          <cell r="C5161">
            <v>2282.13</v>
          </cell>
        </row>
        <row r="5162">
          <cell r="B5162">
            <v>38723</v>
          </cell>
          <cell r="C5162">
            <v>2279.9899999999998</v>
          </cell>
        </row>
        <row r="5163">
          <cell r="B5163">
            <v>38724</v>
          </cell>
          <cell r="C5163">
            <v>2278.4</v>
          </cell>
        </row>
        <row r="5164">
          <cell r="B5164">
            <v>38725</v>
          </cell>
          <cell r="C5164">
            <v>2278.4</v>
          </cell>
        </row>
        <row r="5165">
          <cell r="B5165">
            <v>38726</v>
          </cell>
          <cell r="C5165">
            <v>2278.4</v>
          </cell>
        </row>
        <row r="5166">
          <cell r="B5166">
            <v>38727</v>
          </cell>
          <cell r="C5166">
            <v>2278.4</v>
          </cell>
        </row>
        <row r="5167">
          <cell r="B5167">
            <v>38728</v>
          </cell>
          <cell r="C5167">
            <v>2276.58</v>
          </cell>
        </row>
        <row r="5168">
          <cell r="B5168">
            <v>38729</v>
          </cell>
          <cell r="C5168">
            <v>2274.73</v>
          </cell>
        </row>
        <row r="5169">
          <cell r="B5169">
            <v>38730</v>
          </cell>
          <cell r="C5169">
            <v>2274.59</v>
          </cell>
        </row>
        <row r="5170">
          <cell r="B5170">
            <v>38731</v>
          </cell>
          <cell r="C5170">
            <v>2273.31</v>
          </cell>
        </row>
        <row r="5171">
          <cell r="B5171">
            <v>38732</v>
          </cell>
          <cell r="C5171">
            <v>2273.31</v>
          </cell>
        </row>
        <row r="5172">
          <cell r="B5172">
            <v>38733</v>
          </cell>
          <cell r="C5172">
            <v>2273.31</v>
          </cell>
        </row>
        <row r="5173">
          <cell r="B5173">
            <v>38734</v>
          </cell>
          <cell r="C5173">
            <v>2273.31</v>
          </cell>
        </row>
        <row r="5174">
          <cell r="B5174">
            <v>38735</v>
          </cell>
          <cell r="C5174">
            <v>2270.88</v>
          </cell>
        </row>
        <row r="5175">
          <cell r="B5175">
            <v>38736</v>
          </cell>
          <cell r="C5175">
            <v>2271.5500000000002</v>
          </cell>
        </row>
        <row r="5176">
          <cell r="B5176">
            <v>38737</v>
          </cell>
          <cell r="C5176">
            <v>2269.6999999999998</v>
          </cell>
        </row>
        <row r="5177">
          <cell r="B5177">
            <v>38738</v>
          </cell>
          <cell r="C5177">
            <v>2269.41</v>
          </cell>
        </row>
        <row r="5178">
          <cell r="B5178">
            <v>38739</v>
          </cell>
          <cell r="C5178">
            <v>2269.41</v>
          </cell>
        </row>
        <row r="5179">
          <cell r="B5179">
            <v>38740</v>
          </cell>
          <cell r="C5179">
            <v>2269.41</v>
          </cell>
        </row>
        <row r="5180">
          <cell r="B5180">
            <v>38741</v>
          </cell>
          <cell r="C5180">
            <v>2262.04</v>
          </cell>
        </row>
        <row r="5181">
          <cell r="B5181">
            <v>38742</v>
          </cell>
          <cell r="C5181">
            <v>2262.87</v>
          </cell>
        </row>
        <row r="5182">
          <cell r="B5182">
            <v>38743</v>
          </cell>
          <cell r="C5182">
            <v>2273.5</v>
          </cell>
        </row>
        <row r="5183">
          <cell r="B5183">
            <v>38744</v>
          </cell>
          <cell r="C5183">
            <v>2270.85</v>
          </cell>
        </row>
        <row r="5184">
          <cell r="B5184">
            <v>38745</v>
          </cell>
          <cell r="C5184">
            <v>2266.66</v>
          </cell>
        </row>
        <row r="5185">
          <cell r="B5185">
            <v>38746</v>
          </cell>
          <cell r="C5185">
            <v>2266.66</v>
          </cell>
        </row>
        <row r="5186">
          <cell r="B5186">
            <v>38747</v>
          </cell>
          <cell r="C5186">
            <v>2266.66</v>
          </cell>
        </row>
        <row r="5187">
          <cell r="B5187">
            <v>38748</v>
          </cell>
          <cell r="C5187">
            <v>2265.65</v>
          </cell>
        </row>
        <row r="5188">
          <cell r="B5188">
            <v>38749</v>
          </cell>
          <cell r="C5188">
            <v>2267.63</v>
          </cell>
        </row>
        <row r="5189">
          <cell r="B5189">
            <v>38750</v>
          </cell>
          <cell r="C5189">
            <v>2267.39</v>
          </cell>
        </row>
        <row r="5190">
          <cell r="B5190">
            <v>38751</v>
          </cell>
          <cell r="C5190">
            <v>2266.0700000000002</v>
          </cell>
        </row>
        <row r="5191">
          <cell r="B5191">
            <v>38752</v>
          </cell>
          <cell r="C5191">
            <v>2265.2199999999998</v>
          </cell>
        </row>
        <row r="5192">
          <cell r="B5192">
            <v>38753</v>
          </cell>
          <cell r="C5192">
            <v>2265.2199999999998</v>
          </cell>
        </row>
        <row r="5193">
          <cell r="B5193">
            <v>38754</v>
          </cell>
          <cell r="C5193">
            <v>2265.2199999999998</v>
          </cell>
        </row>
        <row r="5194">
          <cell r="B5194">
            <v>38755</v>
          </cell>
          <cell r="C5194">
            <v>2259.64</v>
          </cell>
        </row>
        <row r="5195">
          <cell r="B5195">
            <v>38756</v>
          </cell>
          <cell r="C5195">
            <v>2256.5700000000002</v>
          </cell>
        </row>
        <row r="5196">
          <cell r="B5196">
            <v>38757</v>
          </cell>
          <cell r="C5196">
            <v>2259.0700000000002</v>
          </cell>
        </row>
        <row r="5197">
          <cell r="B5197">
            <v>38758</v>
          </cell>
          <cell r="C5197">
            <v>2256.9499999999998</v>
          </cell>
        </row>
        <row r="5198">
          <cell r="B5198">
            <v>38759</v>
          </cell>
          <cell r="C5198">
            <v>2253.1</v>
          </cell>
        </row>
        <row r="5199">
          <cell r="B5199">
            <v>38760</v>
          </cell>
          <cell r="C5199">
            <v>2253.1</v>
          </cell>
        </row>
        <row r="5200">
          <cell r="B5200">
            <v>38761</v>
          </cell>
          <cell r="C5200">
            <v>2253.1</v>
          </cell>
        </row>
        <row r="5201">
          <cell r="B5201">
            <v>38762</v>
          </cell>
          <cell r="C5201">
            <v>2254.0300000000002</v>
          </cell>
        </row>
        <row r="5202">
          <cell r="B5202">
            <v>38763</v>
          </cell>
          <cell r="C5202">
            <v>2254.98</v>
          </cell>
        </row>
        <row r="5203">
          <cell r="B5203">
            <v>38764</v>
          </cell>
          <cell r="C5203">
            <v>2253.6799999999998</v>
          </cell>
        </row>
        <row r="5204">
          <cell r="B5204">
            <v>38765</v>
          </cell>
          <cell r="C5204">
            <v>2254.11</v>
          </cell>
        </row>
        <row r="5205">
          <cell r="B5205">
            <v>38766</v>
          </cell>
          <cell r="C5205">
            <v>2253.89</v>
          </cell>
        </row>
        <row r="5206">
          <cell r="B5206">
            <v>38767</v>
          </cell>
          <cell r="C5206">
            <v>2253.89</v>
          </cell>
        </row>
        <row r="5207">
          <cell r="B5207">
            <v>38768</v>
          </cell>
          <cell r="C5207">
            <v>2253.89</v>
          </cell>
        </row>
        <row r="5208">
          <cell r="B5208">
            <v>38769</v>
          </cell>
          <cell r="C5208">
            <v>2253.89</v>
          </cell>
        </row>
        <row r="5209">
          <cell r="B5209">
            <v>38770</v>
          </cell>
          <cell r="C5209">
            <v>2253.42</v>
          </cell>
        </row>
        <row r="5210">
          <cell r="B5210">
            <v>38771</v>
          </cell>
          <cell r="C5210">
            <v>2251.7800000000002</v>
          </cell>
        </row>
        <row r="5211">
          <cell r="B5211">
            <v>38772</v>
          </cell>
          <cell r="C5211">
            <v>2249.9</v>
          </cell>
        </row>
        <row r="5212">
          <cell r="B5212">
            <v>38773</v>
          </cell>
          <cell r="C5212">
            <v>2246.1799999999998</v>
          </cell>
        </row>
        <row r="5213">
          <cell r="B5213">
            <v>38774</v>
          </cell>
          <cell r="C5213">
            <v>2246.1799999999998</v>
          </cell>
        </row>
        <row r="5214">
          <cell r="B5214">
            <v>38775</v>
          </cell>
          <cell r="C5214">
            <v>2246.1799999999998</v>
          </cell>
        </row>
        <row r="5215">
          <cell r="B5215">
            <v>38776</v>
          </cell>
          <cell r="C5215">
            <v>2247.3200000000002</v>
          </cell>
        </row>
        <row r="5216">
          <cell r="B5216">
            <v>38777</v>
          </cell>
          <cell r="C5216">
            <v>2245.71</v>
          </cell>
        </row>
        <row r="5217">
          <cell r="B5217">
            <v>38778</v>
          </cell>
          <cell r="C5217">
            <v>2247.48</v>
          </cell>
        </row>
        <row r="5218">
          <cell r="B5218">
            <v>38779</v>
          </cell>
          <cell r="C5218">
            <v>2251.4499999999998</v>
          </cell>
        </row>
        <row r="5219">
          <cell r="B5219">
            <v>38780</v>
          </cell>
          <cell r="C5219">
            <v>2256.17</v>
          </cell>
        </row>
        <row r="5220">
          <cell r="B5220">
            <v>38781</v>
          </cell>
          <cell r="C5220">
            <v>2256.17</v>
          </cell>
        </row>
        <row r="5221">
          <cell r="B5221">
            <v>38782</v>
          </cell>
          <cell r="C5221">
            <v>2256.17</v>
          </cell>
        </row>
        <row r="5222">
          <cell r="B5222">
            <v>38783</v>
          </cell>
          <cell r="C5222">
            <v>2259.12</v>
          </cell>
        </row>
        <row r="5223">
          <cell r="B5223">
            <v>38784</v>
          </cell>
          <cell r="C5223">
            <v>2258.11</v>
          </cell>
        </row>
        <row r="5224">
          <cell r="B5224">
            <v>38785</v>
          </cell>
          <cell r="C5224">
            <v>2254.5500000000002</v>
          </cell>
        </row>
        <row r="5225">
          <cell r="B5225">
            <v>38786</v>
          </cell>
          <cell r="C5225">
            <v>2257.67</v>
          </cell>
        </row>
        <row r="5226">
          <cell r="B5226">
            <v>38787</v>
          </cell>
          <cell r="C5226">
            <v>2265.15</v>
          </cell>
        </row>
        <row r="5227">
          <cell r="B5227">
            <v>38788</v>
          </cell>
          <cell r="C5227">
            <v>2265.15</v>
          </cell>
        </row>
        <row r="5228">
          <cell r="B5228">
            <v>38789</v>
          </cell>
          <cell r="C5228">
            <v>2265.15</v>
          </cell>
        </row>
        <row r="5229">
          <cell r="B5229">
            <v>38790</v>
          </cell>
          <cell r="C5229">
            <v>2263.46</v>
          </cell>
        </row>
        <row r="5230">
          <cell r="B5230">
            <v>38791</v>
          </cell>
          <cell r="C5230">
            <v>2262.41</v>
          </cell>
        </row>
        <row r="5231">
          <cell r="B5231">
            <v>38792</v>
          </cell>
          <cell r="C5231">
            <v>2259.5300000000002</v>
          </cell>
        </row>
        <row r="5232">
          <cell r="B5232">
            <v>38793</v>
          </cell>
          <cell r="C5232">
            <v>2258.0100000000002</v>
          </cell>
        </row>
        <row r="5233">
          <cell r="B5233">
            <v>38794</v>
          </cell>
          <cell r="C5233">
            <v>2257.0100000000002</v>
          </cell>
        </row>
        <row r="5234">
          <cell r="B5234">
            <v>38795</v>
          </cell>
          <cell r="C5234">
            <v>2257.0100000000002</v>
          </cell>
        </row>
        <row r="5235">
          <cell r="B5235">
            <v>38796</v>
          </cell>
          <cell r="C5235">
            <v>2257.0100000000002</v>
          </cell>
        </row>
        <row r="5236">
          <cell r="B5236">
            <v>38797</v>
          </cell>
          <cell r="C5236">
            <v>2257.0100000000002</v>
          </cell>
        </row>
        <row r="5237">
          <cell r="B5237">
            <v>38798</v>
          </cell>
          <cell r="C5237">
            <v>2259.19</v>
          </cell>
        </row>
        <row r="5238">
          <cell r="B5238">
            <v>38799</v>
          </cell>
          <cell r="C5238">
            <v>2263.31</v>
          </cell>
        </row>
        <row r="5239">
          <cell r="B5239">
            <v>38800</v>
          </cell>
          <cell r="C5239">
            <v>2265.4899999999998</v>
          </cell>
        </row>
        <row r="5240">
          <cell r="B5240">
            <v>38801</v>
          </cell>
          <cell r="C5240">
            <v>2266.9499999999998</v>
          </cell>
        </row>
        <row r="5241">
          <cell r="B5241">
            <v>38802</v>
          </cell>
          <cell r="C5241">
            <v>2266.9499999999998</v>
          </cell>
        </row>
        <row r="5242">
          <cell r="B5242">
            <v>38803</v>
          </cell>
          <cell r="C5242">
            <v>2266.9499999999998</v>
          </cell>
        </row>
        <row r="5243">
          <cell r="B5243">
            <v>38804</v>
          </cell>
          <cell r="C5243">
            <v>2268.35</v>
          </cell>
        </row>
        <row r="5244">
          <cell r="B5244">
            <v>38805</v>
          </cell>
          <cell r="C5244">
            <v>2276.08</v>
          </cell>
        </row>
        <row r="5245">
          <cell r="B5245">
            <v>38806</v>
          </cell>
          <cell r="C5245">
            <v>2286.73</v>
          </cell>
        </row>
        <row r="5246">
          <cell r="B5246">
            <v>38807</v>
          </cell>
          <cell r="C5246">
            <v>2289.98</v>
          </cell>
        </row>
        <row r="5247">
          <cell r="B5247">
            <v>38808</v>
          </cell>
          <cell r="C5247">
            <v>2293.38</v>
          </cell>
        </row>
        <row r="5248">
          <cell r="B5248">
            <v>38809</v>
          </cell>
          <cell r="C5248">
            <v>2293.38</v>
          </cell>
        </row>
        <row r="5249">
          <cell r="B5249">
            <v>38810</v>
          </cell>
          <cell r="C5249">
            <v>2293.38</v>
          </cell>
        </row>
        <row r="5250">
          <cell r="B5250">
            <v>38811</v>
          </cell>
          <cell r="C5250">
            <v>2296.1799999999998</v>
          </cell>
        </row>
        <row r="5251">
          <cell r="B5251">
            <v>38812</v>
          </cell>
          <cell r="C5251">
            <v>2288.67</v>
          </cell>
        </row>
        <row r="5252">
          <cell r="B5252">
            <v>38813</v>
          </cell>
          <cell r="C5252">
            <v>2294.9899999999998</v>
          </cell>
        </row>
        <row r="5253">
          <cell r="B5253">
            <v>38814</v>
          </cell>
          <cell r="C5253">
            <v>2313.0500000000002</v>
          </cell>
        </row>
        <row r="5254">
          <cell r="B5254">
            <v>38815</v>
          </cell>
          <cell r="C5254">
            <v>2342.35</v>
          </cell>
        </row>
        <row r="5255">
          <cell r="B5255">
            <v>38816</v>
          </cell>
          <cell r="C5255">
            <v>2342.35</v>
          </cell>
        </row>
        <row r="5256">
          <cell r="B5256">
            <v>38817</v>
          </cell>
          <cell r="C5256">
            <v>2342.35</v>
          </cell>
        </row>
        <row r="5257">
          <cell r="B5257">
            <v>38818</v>
          </cell>
          <cell r="C5257">
            <v>2352.58</v>
          </cell>
        </row>
        <row r="5258">
          <cell r="B5258">
            <v>38819</v>
          </cell>
          <cell r="C5258">
            <v>2336.2600000000002</v>
          </cell>
        </row>
        <row r="5259">
          <cell r="B5259">
            <v>38820</v>
          </cell>
          <cell r="C5259">
            <v>2335.16</v>
          </cell>
        </row>
        <row r="5260">
          <cell r="B5260">
            <v>38821</v>
          </cell>
          <cell r="C5260">
            <v>2335.16</v>
          </cell>
        </row>
        <row r="5261">
          <cell r="B5261">
            <v>38822</v>
          </cell>
          <cell r="C5261">
            <v>2335.16</v>
          </cell>
        </row>
        <row r="5262">
          <cell r="B5262">
            <v>38823</v>
          </cell>
          <cell r="C5262">
            <v>2335.16</v>
          </cell>
        </row>
        <row r="5263">
          <cell r="B5263">
            <v>38824</v>
          </cell>
          <cell r="C5263">
            <v>2335.16</v>
          </cell>
        </row>
        <row r="5264">
          <cell r="B5264">
            <v>38825</v>
          </cell>
          <cell r="C5264">
            <v>2366.15</v>
          </cell>
        </row>
        <row r="5265">
          <cell r="B5265">
            <v>38826</v>
          </cell>
          <cell r="C5265">
            <v>2349.0300000000002</v>
          </cell>
        </row>
        <row r="5266">
          <cell r="B5266">
            <v>38827</v>
          </cell>
          <cell r="C5266">
            <v>2344.73</v>
          </cell>
        </row>
        <row r="5267">
          <cell r="B5267">
            <v>38828</v>
          </cell>
          <cell r="C5267">
            <v>2336.1</v>
          </cell>
        </row>
        <row r="5268">
          <cell r="B5268">
            <v>38829</v>
          </cell>
          <cell r="C5268">
            <v>2337.42</v>
          </cell>
        </row>
        <row r="5269">
          <cell r="B5269">
            <v>38830</v>
          </cell>
          <cell r="C5269">
            <v>2337.42</v>
          </cell>
        </row>
        <row r="5270">
          <cell r="B5270">
            <v>38831</v>
          </cell>
          <cell r="C5270">
            <v>2337.42</v>
          </cell>
        </row>
        <row r="5271">
          <cell r="B5271">
            <v>38832</v>
          </cell>
          <cell r="C5271">
            <v>2332.9899999999998</v>
          </cell>
        </row>
        <row r="5272">
          <cell r="B5272">
            <v>38833</v>
          </cell>
          <cell r="C5272">
            <v>2348.4899999999998</v>
          </cell>
        </row>
        <row r="5273">
          <cell r="B5273">
            <v>38834</v>
          </cell>
          <cell r="C5273">
            <v>2373.94</v>
          </cell>
        </row>
        <row r="5274">
          <cell r="B5274">
            <v>38835</v>
          </cell>
          <cell r="C5274">
            <v>2375.66</v>
          </cell>
        </row>
        <row r="5275">
          <cell r="B5275">
            <v>38836</v>
          </cell>
          <cell r="C5275">
            <v>2375.0300000000002</v>
          </cell>
        </row>
        <row r="5276">
          <cell r="B5276">
            <v>38837</v>
          </cell>
          <cell r="C5276">
            <v>2375.0300000000002</v>
          </cell>
        </row>
        <row r="5277">
          <cell r="B5277">
            <v>38838</v>
          </cell>
          <cell r="C5277">
            <v>2375.0300000000002</v>
          </cell>
        </row>
        <row r="5278">
          <cell r="B5278">
            <v>38839</v>
          </cell>
          <cell r="C5278">
            <v>2375.0300000000002</v>
          </cell>
        </row>
        <row r="5279">
          <cell r="B5279">
            <v>38840</v>
          </cell>
          <cell r="C5279">
            <v>2380.31</v>
          </cell>
        </row>
        <row r="5280">
          <cell r="B5280">
            <v>38841</v>
          </cell>
          <cell r="C5280">
            <v>2377.59</v>
          </cell>
        </row>
        <row r="5281">
          <cell r="B5281">
            <v>38842</v>
          </cell>
          <cell r="C5281">
            <v>2381.36</v>
          </cell>
        </row>
        <row r="5282">
          <cell r="B5282">
            <v>38843</v>
          </cell>
          <cell r="C5282">
            <v>2370.63</v>
          </cell>
        </row>
        <row r="5283">
          <cell r="B5283">
            <v>38844</v>
          </cell>
          <cell r="C5283">
            <v>2370.63</v>
          </cell>
        </row>
        <row r="5284">
          <cell r="B5284">
            <v>38845</v>
          </cell>
          <cell r="C5284">
            <v>2370.63</v>
          </cell>
        </row>
        <row r="5285">
          <cell r="B5285">
            <v>38846</v>
          </cell>
          <cell r="C5285">
            <v>2351.06</v>
          </cell>
        </row>
        <row r="5286">
          <cell r="B5286">
            <v>38847</v>
          </cell>
          <cell r="C5286">
            <v>2338.7600000000002</v>
          </cell>
        </row>
        <row r="5287">
          <cell r="B5287">
            <v>38848</v>
          </cell>
          <cell r="C5287">
            <v>2329.35</v>
          </cell>
        </row>
        <row r="5288">
          <cell r="B5288">
            <v>38849</v>
          </cell>
          <cell r="C5288">
            <v>2346.06</v>
          </cell>
        </row>
        <row r="5289">
          <cell r="B5289">
            <v>38850</v>
          </cell>
          <cell r="C5289">
            <v>2375.86</v>
          </cell>
        </row>
        <row r="5290">
          <cell r="B5290">
            <v>38851</v>
          </cell>
          <cell r="C5290">
            <v>2375.86</v>
          </cell>
        </row>
        <row r="5291">
          <cell r="B5291">
            <v>38852</v>
          </cell>
          <cell r="C5291">
            <v>2375.86</v>
          </cell>
        </row>
        <row r="5292">
          <cell r="B5292">
            <v>38853</v>
          </cell>
          <cell r="C5292">
            <v>2424.27</v>
          </cell>
        </row>
        <row r="5293">
          <cell r="B5293">
            <v>38854</v>
          </cell>
          <cell r="C5293">
            <v>2410.96</v>
          </cell>
        </row>
        <row r="5294">
          <cell r="B5294">
            <v>38855</v>
          </cell>
          <cell r="C5294">
            <v>2435.52</v>
          </cell>
        </row>
        <row r="5295">
          <cell r="B5295">
            <v>38856</v>
          </cell>
          <cell r="C5295">
            <v>2450.63</v>
          </cell>
        </row>
        <row r="5296">
          <cell r="B5296">
            <v>38857</v>
          </cell>
          <cell r="C5296">
            <v>2452.5</v>
          </cell>
        </row>
        <row r="5297">
          <cell r="B5297">
            <v>38858</v>
          </cell>
          <cell r="C5297">
            <v>2452.5</v>
          </cell>
        </row>
        <row r="5298">
          <cell r="B5298">
            <v>38859</v>
          </cell>
          <cell r="C5298">
            <v>2452.5</v>
          </cell>
        </row>
        <row r="5299">
          <cell r="B5299">
            <v>38860</v>
          </cell>
          <cell r="C5299">
            <v>2493.98</v>
          </cell>
        </row>
        <row r="5300">
          <cell r="B5300">
            <v>38861</v>
          </cell>
          <cell r="C5300">
            <v>2490.06</v>
          </cell>
        </row>
        <row r="5301">
          <cell r="B5301">
            <v>38862</v>
          </cell>
          <cell r="C5301">
            <v>2518.34</v>
          </cell>
        </row>
        <row r="5302">
          <cell r="B5302">
            <v>38863</v>
          </cell>
          <cell r="C5302">
            <v>2517.44</v>
          </cell>
        </row>
        <row r="5303">
          <cell r="B5303">
            <v>38864</v>
          </cell>
          <cell r="C5303">
            <v>2475.75</v>
          </cell>
        </row>
        <row r="5304">
          <cell r="B5304">
            <v>38865</v>
          </cell>
          <cell r="C5304">
            <v>2475.75</v>
          </cell>
        </row>
        <row r="5305">
          <cell r="B5305">
            <v>38866</v>
          </cell>
          <cell r="C5305">
            <v>2475.75</v>
          </cell>
        </row>
        <row r="5306">
          <cell r="B5306">
            <v>38867</v>
          </cell>
          <cell r="C5306">
            <v>2475.75</v>
          </cell>
        </row>
        <row r="5307">
          <cell r="B5307">
            <v>38868</v>
          </cell>
          <cell r="C5307">
            <v>2482.41</v>
          </cell>
        </row>
        <row r="5308">
          <cell r="B5308">
            <v>38869</v>
          </cell>
          <cell r="C5308">
            <v>2486.0700000000002</v>
          </cell>
        </row>
        <row r="5309">
          <cell r="B5309">
            <v>38870</v>
          </cell>
          <cell r="C5309">
            <v>2484.62</v>
          </cell>
        </row>
        <row r="5310">
          <cell r="B5310">
            <v>38871</v>
          </cell>
          <cell r="C5310">
            <v>2450.8000000000002</v>
          </cell>
        </row>
        <row r="5311">
          <cell r="B5311">
            <v>38872</v>
          </cell>
          <cell r="C5311">
            <v>2450.8000000000002</v>
          </cell>
        </row>
        <row r="5312">
          <cell r="B5312">
            <v>38873</v>
          </cell>
          <cell r="C5312">
            <v>2450.8000000000002</v>
          </cell>
        </row>
        <row r="5313">
          <cell r="B5313">
            <v>38874</v>
          </cell>
          <cell r="C5313">
            <v>2443.7199999999998</v>
          </cell>
        </row>
        <row r="5314">
          <cell r="B5314">
            <v>38875</v>
          </cell>
          <cell r="C5314">
            <v>2470.9899999999998</v>
          </cell>
        </row>
        <row r="5315">
          <cell r="B5315">
            <v>38876</v>
          </cell>
          <cell r="C5315">
            <v>2482.15</v>
          </cell>
        </row>
        <row r="5316">
          <cell r="B5316">
            <v>38877</v>
          </cell>
          <cell r="C5316">
            <v>2511.34</v>
          </cell>
        </row>
        <row r="5317">
          <cell r="B5317">
            <v>38878</v>
          </cell>
          <cell r="C5317">
            <v>2510.8200000000002</v>
          </cell>
        </row>
        <row r="5318">
          <cell r="B5318">
            <v>38879</v>
          </cell>
          <cell r="C5318">
            <v>2510.8200000000002</v>
          </cell>
        </row>
        <row r="5319">
          <cell r="B5319">
            <v>38880</v>
          </cell>
          <cell r="C5319">
            <v>2510.8200000000002</v>
          </cell>
        </row>
        <row r="5320">
          <cell r="B5320">
            <v>38881</v>
          </cell>
          <cell r="C5320">
            <v>2534.83</v>
          </cell>
        </row>
        <row r="5321">
          <cell r="B5321">
            <v>38882</v>
          </cell>
          <cell r="C5321">
            <v>2569.1</v>
          </cell>
        </row>
        <row r="5322">
          <cell r="B5322">
            <v>38883</v>
          </cell>
          <cell r="C5322">
            <v>2570.11</v>
          </cell>
        </row>
        <row r="5323">
          <cell r="B5323">
            <v>38884</v>
          </cell>
          <cell r="C5323">
            <v>2564.3000000000002</v>
          </cell>
        </row>
        <row r="5324">
          <cell r="B5324">
            <v>38885</v>
          </cell>
          <cell r="C5324">
            <v>2559.04</v>
          </cell>
        </row>
        <row r="5325">
          <cell r="B5325">
            <v>38886</v>
          </cell>
          <cell r="C5325">
            <v>2559.04</v>
          </cell>
        </row>
        <row r="5326">
          <cell r="B5326">
            <v>38887</v>
          </cell>
          <cell r="C5326">
            <v>2559.04</v>
          </cell>
        </row>
        <row r="5327">
          <cell r="B5327">
            <v>38888</v>
          </cell>
          <cell r="C5327">
            <v>2559.04</v>
          </cell>
        </row>
        <row r="5328">
          <cell r="B5328">
            <v>38889</v>
          </cell>
          <cell r="C5328">
            <v>2568.12</v>
          </cell>
        </row>
        <row r="5329">
          <cell r="B5329">
            <v>38890</v>
          </cell>
          <cell r="C5329">
            <v>2566.7600000000002</v>
          </cell>
        </row>
        <row r="5330">
          <cell r="B5330">
            <v>38891</v>
          </cell>
          <cell r="C5330">
            <v>2578.02</v>
          </cell>
        </row>
        <row r="5331">
          <cell r="B5331">
            <v>38892</v>
          </cell>
          <cell r="C5331">
            <v>2607.13</v>
          </cell>
        </row>
        <row r="5332">
          <cell r="B5332">
            <v>38893</v>
          </cell>
          <cell r="C5332">
            <v>2607.13</v>
          </cell>
        </row>
        <row r="5333">
          <cell r="B5333">
            <v>38894</v>
          </cell>
          <cell r="C5333">
            <v>2607.13</v>
          </cell>
        </row>
        <row r="5334">
          <cell r="B5334">
            <v>38895</v>
          </cell>
          <cell r="C5334">
            <v>2607.13</v>
          </cell>
        </row>
        <row r="5335">
          <cell r="B5335">
            <v>38896</v>
          </cell>
          <cell r="C5335">
            <v>2619.75</v>
          </cell>
        </row>
        <row r="5336">
          <cell r="B5336">
            <v>38897</v>
          </cell>
          <cell r="C5336">
            <v>2634.06</v>
          </cell>
        </row>
        <row r="5337">
          <cell r="B5337">
            <v>38898</v>
          </cell>
          <cell r="C5337">
            <v>2633.12</v>
          </cell>
        </row>
        <row r="5338">
          <cell r="B5338">
            <v>38899</v>
          </cell>
          <cell r="C5338">
            <v>2579.08</v>
          </cell>
        </row>
        <row r="5339">
          <cell r="B5339">
            <v>38900</v>
          </cell>
          <cell r="C5339">
            <v>2579.08</v>
          </cell>
        </row>
        <row r="5340">
          <cell r="B5340">
            <v>38901</v>
          </cell>
          <cell r="C5340">
            <v>2579.08</v>
          </cell>
        </row>
        <row r="5341">
          <cell r="B5341">
            <v>38902</v>
          </cell>
          <cell r="C5341">
            <v>2579.08</v>
          </cell>
        </row>
        <row r="5342">
          <cell r="B5342">
            <v>38903</v>
          </cell>
          <cell r="C5342">
            <v>2579.08</v>
          </cell>
        </row>
        <row r="5343">
          <cell r="B5343">
            <v>38904</v>
          </cell>
          <cell r="C5343">
            <v>2574.7399999999998</v>
          </cell>
        </row>
        <row r="5344">
          <cell r="B5344">
            <v>38905</v>
          </cell>
          <cell r="C5344">
            <v>2562.85</v>
          </cell>
        </row>
        <row r="5345">
          <cell r="B5345">
            <v>38906</v>
          </cell>
          <cell r="C5345">
            <v>2525.5</v>
          </cell>
        </row>
        <row r="5346">
          <cell r="B5346">
            <v>38907</v>
          </cell>
          <cell r="C5346">
            <v>2525.5</v>
          </cell>
        </row>
        <row r="5347">
          <cell r="B5347">
            <v>38908</v>
          </cell>
          <cell r="C5347">
            <v>2525.5</v>
          </cell>
        </row>
        <row r="5348">
          <cell r="B5348">
            <v>38909</v>
          </cell>
          <cell r="C5348">
            <v>2491.4499999999998</v>
          </cell>
        </row>
        <row r="5349">
          <cell r="B5349">
            <v>38910</v>
          </cell>
          <cell r="C5349">
            <v>2488.33</v>
          </cell>
        </row>
        <row r="5350">
          <cell r="B5350">
            <v>38911</v>
          </cell>
          <cell r="C5350">
            <v>2512.4</v>
          </cell>
        </row>
        <row r="5351">
          <cell r="B5351">
            <v>38912</v>
          </cell>
          <cell r="C5351">
            <v>2534.13</v>
          </cell>
        </row>
        <row r="5352">
          <cell r="B5352">
            <v>38913</v>
          </cell>
          <cell r="C5352">
            <v>2549.77</v>
          </cell>
        </row>
        <row r="5353">
          <cell r="B5353">
            <v>38914</v>
          </cell>
          <cell r="C5353">
            <v>2549.77</v>
          </cell>
        </row>
        <row r="5354">
          <cell r="B5354">
            <v>38915</v>
          </cell>
          <cell r="C5354">
            <v>2549.77</v>
          </cell>
        </row>
        <row r="5355">
          <cell r="B5355">
            <v>38916</v>
          </cell>
          <cell r="C5355">
            <v>2556.7199999999998</v>
          </cell>
        </row>
        <row r="5356">
          <cell r="B5356">
            <v>38917</v>
          </cell>
          <cell r="C5356">
            <v>2531.85</v>
          </cell>
        </row>
        <row r="5357">
          <cell r="B5357">
            <v>38918</v>
          </cell>
          <cell r="C5357">
            <v>2521.1799999999998</v>
          </cell>
        </row>
        <row r="5358">
          <cell r="B5358">
            <v>38919</v>
          </cell>
          <cell r="C5358">
            <v>2521.1799999999998</v>
          </cell>
        </row>
        <row r="5359">
          <cell r="B5359">
            <v>38920</v>
          </cell>
          <cell r="C5359">
            <v>2470.3200000000002</v>
          </cell>
        </row>
        <row r="5360">
          <cell r="B5360">
            <v>38921</v>
          </cell>
          <cell r="C5360">
            <v>2470.3200000000002</v>
          </cell>
        </row>
        <row r="5361">
          <cell r="B5361">
            <v>38922</v>
          </cell>
          <cell r="C5361">
            <v>2470.3200000000002</v>
          </cell>
        </row>
        <row r="5362">
          <cell r="B5362">
            <v>38923</v>
          </cell>
          <cell r="C5362">
            <v>2450.79</v>
          </cell>
        </row>
        <row r="5363">
          <cell r="B5363">
            <v>38924</v>
          </cell>
          <cell r="C5363">
            <v>2458.56</v>
          </cell>
        </row>
        <row r="5364">
          <cell r="B5364">
            <v>38925</v>
          </cell>
          <cell r="C5364">
            <v>2466.9499999999998</v>
          </cell>
        </row>
        <row r="5365">
          <cell r="B5365">
            <v>38926</v>
          </cell>
          <cell r="C5365">
            <v>2443.35</v>
          </cell>
        </row>
        <row r="5366">
          <cell r="B5366">
            <v>38927</v>
          </cell>
          <cell r="C5366">
            <v>2426</v>
          </cell>
        </row>
        <row r="5367">
          <cell r="B5367">
            <v>38928</v>
          </cell>
          <cell r="C5367">
            <v>2426</v>
          </cell>
        </row>
        <row r="5368">
          <cell r="B5368">
            <v>38929</v>
          </cell>
          <cell r="C5368">
            <v>2426</v>
          </cell>
        </row>
        <row r="5369">
          <cell r="B5369">
            <v>38930</v>
          </cell>
          <cell r="C5369">
            <v>2426.52</v>
          </cell>
        </row>
        <row r="5370">
          <cell r="B5370">
            <v>38931</v>
          </cell>
          <cell r="C5370">
            <v>2436.4299999999998</v>
          </cell>
        </row>
        <row r="5371">
          <cell r="B5371">
            <v>38932</v>
          </cell>
          <cell r="C5371">
            <v>2429.2399999999998</v>
          </cell>
        </row>
        <row r="5372">
          <cell r="B5372">
            <v>38933</v>
          </cell>
          <cell r="C5372">
            <v>2415.5100000000002</v>
          </cell>
        </row>
        <row r="5373">
          <cell r="B5373">
            <v>38934</v>
          </cell>
          <cell r="C5373">
            <v>2389.87</v>
          </cell>
        </row>
        <row r="5374">
          <cell r="B5374">
            <v>38935</v>
          </cell>
          <cell r="C5374">
            <v>2389.87</v>
          </cell>
        </row>
        <row r="5375">
          <cell r="B5375">
            <v>38936</v>
          </cell>
          <cell r="C5375">
            <v>2389.87</v>
          </cell>
        </row>
        <row r="5376">
          <cell r="B5376">
            <v>38937</v>
          </cell>
          <cell r="C5376">
            <v>2389.87</v>
          </cell>
        </row>
        <row r="5377">
          <cell r="B5377">
            <v>38938</v>
          </cell>
          <cell r="C5377">
            <v>2388.13</v>
          </cell>
        </row>
        <row r="5378">
          <cell r="B5378">
            <v>38939</v>
          </cell>
          <cell r="C5378">
            <v>2363.8200000000002</v>
          </cell>
        </row>
        <row r="5379">
          <cell r="B5379">
            <v>38940</v>
          </cell>
          <cell r="C5379">
            <v>2363.56</v>
          </cell>
        </row>
        <row r="5380">
          <cell r="B5380">
            <v>38941</v>
          </cell>
          <cell r="C5380">
            <v>2371.77</v>
          </cell>
        </row>
        <row r="5381">
          <cell r="B5381">
            <v>38942</v>
          </cell>
          <cell r="C5381">
            <v>2371.77</v>
          </cell>
        </row>
        <row r="5382">
          <cell r="B5382">
            <v>38943</v>
          </cell>
          <cell r="C5382">
            <v>2371.77</v>
          </cell>
        </row>
        <row r="5383">
          <cell r="B5383">
            <v>38944</v>
          </cell>
          <cell r="C5383">
            <v>2372.9499999999998</v>
          </cell>
        </row>
        <row r="5384">
          <cell r="B5384">
            <v>38945</v>
          </cell>
          <cell r="C5384">
            <v>2362.2800000000002</v>
          </cell>
        </row>
        <row r="5385">
          <cell r="B5385">
            <v>38946</v>
          </cell>
          <cell r="C5385">
            <v>2356.4899999999998</v>
          </cell>
        </row>
        <row r="5386">
          <cell r="B5386">
            <v>38947</v>
          </cell>
          <cell r="C5386">
            <v>2366.36</v>
          </cell>
        </row>
        <row r="5387">
          <cell r="B5387">
            <v>38948</v>
          </cell>
          <cell r="C5387">
            <v>2370.4899999999998</v>
          </cell>
        </row>
        <row r="5388">
          <cell r="B5388">
            <v>38949</v>
          </cell>
          <cell r="C5388">
            <v>2370.4899999999998</v>
          </cell>
        </row>
        <row r="5389">
          <cell r="B5389">
            <v>38950</v>
          </cell>
          <cell r="C5389">
            <v>2370.4899999999998</v>
          </cell>
        </row>
        <row r="5390">
          <cell r="B5390">
            <v>38951</v>
          </cell>
          <cell r="C5390">
            <v>2370.4899999999998</v>
          </cell>
        </row>
        <row r="5391">
          <cell r="B5391">
            <v>38952</v>
          </cell>
          <cell r="C5391">
            <v>2362.67</v>
          </cell>
        </row>
        <row r="5392">
          <cell r="B5392">
            <v>38953</v>
          </cell>
          <cell r="C5392">
            <v>2374.59</v>
          </cell>
        </row>
        <row r="5393">
          <cell r="B5393">
            <v>38954</v>
          </cell>
          <cell r="C5393">
            <v>2398</v>
          </cell>
        </row>
        <row r="5394">
          <cell r="B5394">
            <v>38955</v>
          </cell>
          <cell r="C5394">
            <v>2425.65</v>
          </cell>
        </row>
        <row r="5395">
          <cell r="B5395">
            <v>38956</v>
          </cell>
          <cell r="C5395">
            <v>2425.65</v>
          </cell>
        </row>
        <row r="5396">
          <cell r="B5396">
            <v>38957</v>
          </cell>
          <cell r="C5396">
            <v>2425.65</v>
          </cell>
        </row>
        <row r="5397">
          <cell r="B5397">
            <v>38958</v>
          </cell>
          <cell r="C5397">
            <v>2409.54</v>
          </cell>
        </row>
        <row r="5398">
          <cell r="B5398">
            <v>38959</v>
          </cell>
          <cell r="C5398">
            <v>2402.0700000000002</v>
          </cell>
        </row>
        <row r="5399">
          <cell r="B5399">
            <v>38960</v>
          </cell>
          <cell r="C5399">
            <v>2396.63</v>
          </cell>
        </row>
        <row r="5400">
          <cell r="B5400">
            <v>38961</v>
          </cell>
          <cell r="C5400">
            <v>2398.56</v>
          </cell>
        </row>
        <row r="5401">
          <cell r="B5401">
            <v>38962</v>
          </cell>
          <cell r="C5401">
            <v>2398.83</v>
          </cell>
        </row>
        <row r="5402">
          <cell r="B5402">
            <v>38963</v>
          </cell>
          <cell r="C5402">
            <v>2398.83</v>
          </cell>
        </row>
        <row r="5403">
          <cell r="B5403">
            <v>38964</v>
          </cell>
          <cell r="C5403">
            <v>2398.83</v>
          </cell>
        </row>
        <row r="5404">
          <cell r="B5404">
            <v>38965</v>
          </cell>
          <cell r="C5404">
            <v>2398.83</v>
          </cell>
        </row>
        <row r="5405">
          <cell r="B5405">
            <v>38966</v>
          </cell>
          <cell r="C5405">
            <v>2377.1799999999998</v>
          </cell>
        </row>
        <row r="5406">
          <cell r="B5406">
            <v>38967</v>
          </cell>
          <cell r="C5406">
            <v>2381.46</v>
          </cell>
        </row>
        <row r="5407">
          <cell r="B5407">
            <v>38968</v>
          </cell>
          <cell r="C5407">
            <v>2387.31</v>
          </cell>
        </row>
        <row r="5408">
          <cell r="B5408">
            <v>38969</v>
          </cell>
          <cell r="C5408">
            <v>2388.54</v>
          </cell>
        </row>
        <row r="5409">
          <cell r="B5409">
            <v>38970</v>
          </cell>
          <cell r="C5409">
            <v>2388.54</v>
          </cell>
        </row>
        <row r="5410">
          <cell r="B5410">
            <v>38971</v>
          </cell>
          <cell r="C5410">
            <v>2388.54</v>
          </cell>
        </row>
        <row r="5411">
          <cell r="B5411">
            <v>38972</v>
          </cell>
          <cell r="C5411">
            <v>2409.9299999999998</v>
          </cell>
        </row>
        <row r="5412">
          <cell r="B5412">
            <v>38973</v>
          </cell>
          <cell r="C5412">
            <v>2406.89</v>
          </cell>
        </row>
        <row r="5413">
          <cell r="B5413">
            <v>38974</v>
          </cell>
          <cell r="C5413">
            <v>2399.92</v>
          </cell>
        </row>
        <row r="5414">
          <cell r="B5414">
            <v>38975</v>
          </cell>
          <cell r="C5414">
            <v>2392.81</v>
          </cell>
        </row>
        <row r="5415">
          <cell r="B5415">
            <v>38976</v>
          </cell>
          <cell r="C5415">
            <v>2390.66</v>
          </cell>
        </row>
        <row r="5416">
          <cell r="B5416">
            <v>38977</v>
          </cell>
          <cell r="C5416">
            <v>2390.66</v>
          </cell>
        </row>
        <row r="5417">
          <cell r="B5417">
            <v>38978</v>
          </cell>
          <cell r="C5417">
            <v>2390.66</v>
          </cell>
        </row>
        <row r="5418">
          <cell r="B5418">
            <v>38979</v>
          </cell>
          <cell r="C5418">
            <v>2395.4299999999998</v>
          </cell>
        </row>
        <row r="5419">
          <cell r="B5419">
            <v>38980</v>
          </cell>
          <cell r="C5419">
            <v>2396.41</v>
          </cell>
        </row>
        <row r="5420">
          <cell r="B5420">
            <v>38981</v>
          </cell>
          <cell r="C5420">
            <v>2399.46</v>
          </cell>
        </row>
        <row r="5421">
          <cell r="B5421">
            <v>38982</v>
          </cell>
          <cell r="C5421">
            <v>2408.62</v>
          </cell>
        </row>
        <row r="5422">
          <cell r="B5422">
            <v>38983</v>
          </cell>
          <cell r="C5422">
            <v>2417.23</v>
          </cell>
        </row>
        <row r="5423">
          <cell r="B5423">
            <v>38984</v>
          </cell>
          <cell r="C5423">
            <v>2417.23</v>
          </cell>
        </row>
        <row r="5424">
          <cell r="B5424">
            <v>38985</v>
          </cell>
          <cell r="C5424">
            <v>2417.23</v>
          </cell>
        </row>
        <row r="5425">
          <cell r="B5425">
            <v>38986</v>
          </cell>
          <cell r="C5425">
            <v>2420.25</v>
          </cell>
        </row>
        <row r="5426">
          <cell r="B5426">
            <v>38987</v>
          </cell>
          <cell r="C5426">
            <v>2411.6799999999998</v>
          </cell>
        </row>
        <row r="5427">
          <cell r="B5427">
            <v>38988</v>
          </cell>
          <cell r="C5427">
            <v>2399.36</v>
          </cell>
        </row>
        <row r="5428">
          <cell r="B5428">
            <v>38989</v>
          </cell>
          <cell r="C5428">
            <v>2397.0700000000002</v>
          </cell>
        </row>
        <row r="5429">
          <cell r="B5429">
            <v>38990</v>
          </cell>
          <cell r="C5429">
            <v>2394.31</v>
          </cell>
        </row>
        <row r="5430">
          <cell r="B5430">
            <v>38991</v>
          </cell>
          <cell r="C5430">
            <v>2394.31</v>
          </cell>
        </row>
        <row r="5431">
          <cell r="B5431">
            <v>38992</v>
          </cell>
          <cell r="C5431">
            <v>2394.31</v>
          </cell>
        </row>
        <row r="5432">
          <cell r="B5432">
            <v>38993</v>
          </cell>
          <cell r="C5432">
            <v>2390.41</v>
          </cell>
        </row>
        <row r="5433">
          <cell r="B5433">
            <v>38994</v>
          </cell>
          <cell r="C5433">
            <v>2396.38</v>
          </cell>
        </row>
        <row r="5434">
          <cell r="B5434">
            <v>38995</v>
          </cell>
          <cell r="C5434">
            <v>2403.4299999999998</v>
          </cell>
        </row>
        <row r="5435">
          <cell r="B5435">
            <v>38996</v>
          </cell>
          <cell r="C5435">
            <v>2393.4699999999998</v>
          </cell>
        </row>
        <row r="5436">
          <cell r="B5436">
            <v>38997</v>
          </cell>
          <cell r="C5436">
            <v>2395.23</v>
          </cell>
        </row>
        <row r="5437">
          <cell r="B5437">
            <v>38998</v>
          </cell>
          <cell r="C5437">
            <v>2395.23</v>
          </cell>
        </row>
        <row r="5438">
          <cell r="B5438">
            <v>38999</v>
          </cell>
          <cell r="C5438">
            <v>2395.23</v>
          </cell>
        </row>
        <row r="5439">
          <cell r="B5439">
            <v>39000</v>
          </cell>
          <cell r="C5439">
            <v>2395.23</v>
          </cell>
        </row>
        <row r="5440">
          <cell r="B5440">
            <v>39001</v>
          </cell>
          <cell r="C5440">
            <v>2387.11</v>
          </cell>
        </row>
        <row r="5441">
          <cell r="B5441">
            <v>39002</v>
          </cell>
          <cell r="C5441">
            <v>2389.0700000000002</v>
          </cell>
        </row>
        <row r="5442">
          <cell r="B5442">
            <v>39003</v>
          </cell>
          <cell r="C5442">
            <v>2374.5100000000002</v>
          </cell>
        </row>
        <row r="5443">
          <cell r="B5443">
            <v>39004</v>
          </cell>
          <cell r="C5443">
            <v>2356.5300000000002</v>
          </cell>
        </row>
        <row r="5444">
          <cell r="B5444">
            <v>39005</v>
          </cell>
          <cell r="C5444">
            <v>2356.5300000000002</v>
          </cell>
        </row>
        <row r="5445">
          <cell r="B5445">
            <v>39006</v>
          </cell>
          <cell r="C5445">
            <v>2356.5300000000002</v>
          </cell>
        </row>
        <row r="5446">
          <cell r="B5446">
            <v>39007</v>
          </cell>
          <cell r="C5446">
            <v>2356.5300000000002</v>
          </cell>
        </row>
        <row r="5447">
          <cell r="B5447">
            <v>39008</v>
          </cell>
          <cell r="C5447">
            <v>2359.41</v>
          </cell>
        </row>
        <row r="5448">
          <cell r="B5448">
            <v>39009</v>
          </cell>
          <cell r="C5448">
            <v>2348.4299999999998</v>
          </cell>
        </row>
        <row r="5449">
          <cell r="B5449">
            <v>39010</v>
          </cell>
          <cell r="C5449">
            <v>2345.4899999999998</v>
          </cell>
        </row>
        <row r="5450">
          <cell r="B5450">
            <v>39011</v>
          </cell>
          <cell r="C5450">
            <v>2340.89</v>
          </cell>
        </row>
        <row r="5451">
          <cell r="B5451">
            <v>39012</v>
          </cell>
          <cell r="C5451">
            <v>2340.89</v>
          </cell>
        </row>
        <row r="5452">
          <cell r="B5452">
            <v>39013</v>
          </cell>
          <cell r="C5452">
            <v>2340.89</v>
          </cell>
        </row>
        <row r="5453">
          <cell r="B5453">
            <v>39014</v>
          </cell>
          <cell r="C5453">
            <v>2341.5100000000002</v>
          </cell>
        </row>
        <row r="5454">
          <cell r="B5454">
            <v>39015</v>
          </cell>
          <cell r="C5454">
            <v>2341.33</v>
          </cell>
        </row>
        <row r="5455">
          <cell r="B5455">
            <v>39016</v>
          </cell>
          <cell r="C5455">
            <v>2339.92</v>
          </cell>
        </row>
        <row r="5456">
          <cell r="B5456">
            <v>39017</v>
          </cell>
          <cell r="C5456">
            <v>2327.23</v>
          </cell>
        </row>
        <row r="5457">
          <cell r="B5457">
            <v>39018</v>
          </cell>
          <cell r="C5457">
            <v>2314.7600000000002</v>
          </cell>
        </row>
        <row r="5458">
          <cell r="B5458">
            <v>39019</v>
          </cell>
          <cell r="C5458">
            <v>2314.7600000000002</v>
          </cell>
        </row>
        <row r="5459">
          <cell r="B5459">
            <v>39020</v>
          </cell>
          <cell r="C5459">
            <v>2314.7600000000002</v>
          </cell>
        </row>
        <row r="5460">
          <cell r="B5460">
            <v>39021</v>
          </cell>
          <cell r="C5460">
            <v>2315.38</v>
          </cell>
        </row>
        <row r="5461">
          <cell r="B5461">
            <v>39022</v>
          </cell>
          <cell r="C5461">
            <v>2308.4899999999998</v>
          </cell>
        </row>
        <row r="5462">
          <cell r="B5462">
            <v>39023</v>
          </cell>
          <cell r="C5462">
            <v>2302.64</v>
          </cell>
        </row>
        <row r="5463">
          <cell r="B5463">
            <v>39024</v>
          </cell>
          <cell r="C5463">
            <v>2296.65</v>
          </cell>
        </row>
        <row r="5464">
          <cell r="B5464">
            <v>39025</v>
          </cell>
          <cell r="C5464">
            <v>2300.88</v>
          </cell>
        </row>
        <row r="5465">
          <cell r="B5465">
            <v>39026</v>
          </cell>
          <cell r="C5465">
            <v>2300.88</v>
          </cell>
        </row>
        <row r="5466">
          <cell r="B5466">
            <v>39027</v>
          </cell>
          <cell r="C5466">
            <v>2300.88</v>
          </cell>
        </row>
        <row r="5467">
          <cell r="B5467">
            <v>39028</v>
          </cell>
          <cell r="C5467">
            <v>2300.88</v>
          </cell>
        </row>
        <row r="5468">
          <cell r="B5468">
            <v>39029</v>
          </cell>
          <cell r="C5468">
            <v>2288.13</v>
          </cell>
        </row>
        <row r="5469">
          <cell r="B5469">
            <v>39030</v>
          </cell>
          <cell r="C5469">
            <v>2282.52</v>
          </cell>
        </row>
        <row r="5470">
          <cell r="B5470">
            <v>39031</v>
          </cell>
          <cell r="C5470">
            <v>2268.4699999999998</v>
          </cell>
        </row>
        <row r="5471">
          <cell r="B5471">
            <v>39032</v>
          </cell>
          <cell r="C5471">
            <v>2277.66</v>
          </cell>
        </row>
        <row r="5472">
          <cell r="B5472">
            <v>39033</v>
          </cell>
          <cell r="C5472">
            <v>2277.66</v>
          </cell>
        </row>
        <row r="5473">
          <cell r="B5473">
            <v>39034</v>
          </cell>
          <cell r="C5473">
            <v>2277.66</v>
          </cell>
        </row>
        <row r="5474">
          <cell r="B5474">
            <v>39035</v>
          </cell>
          <cell r="C5474">
            <v>2277.66</v>
          </cell>
        </row>
        <row r="5475">
          <cell r="B5475">
            <v>39036</v>
          </cell>
          <cell r="C5475">
            <v>2277.21</v>
          </cell>
        </row>
        <row r="5476">
          <cell r="B5476">
            <v>39037</v>
          </cell>
          <cell r="C5476">
            <v>2274.2600000000002</v>
          </cell>
        </row>
        <row r="5477">
          <cell r="B5477">
            <v>39038</v>
          </cell>
          <cell r="C5477">
            <v>2276.37</v>
          </cell>
        </row>
        <row r="5478">
          <cell r="B5478">
            <v>39039</v>
          </cell>
          <cell r="C5478">
            <v>2285.65</v>
          </cell>
        </row>
        <row r="5479">
          <cell r="B5479">
            <v>39040</v>
          </cell>
          <cell r="C5479">
            <v>2285.65</v>
          </cell>
        </row>
        <row r="5480">
          <cell r="B5480">
            <v>39041</v>
          </cell>
          <cell r="C5480">
            <v>2285.65</v>
          </cell>
        </row>
        <row r="5481">
          <cell r="B5481">
            <v>39042</v>
          </cell>
          <cell r="C5481">
            <v>2283.9899999999998</v>
          </cell>
        </row>
        <row r="5482">
          <cell r="B5482">
            <v>39043</v>
          </cell>
          <cell r="C5482">
            <v>2282.67</v>
          </cell>
        </row>
        <row r="5483">
          <cell r="B5483">
            <v>39044</v>
          </cell>
          <cell r="C5483">
            <v>2283.33</v>
          </cell>
        </row>
        <row r="5484">
          <cell r="B5484">
            <v>39045</v>
          </cell>
          <cell r="C5484">
            <v>2283.33</v>
          </cell>
        </row>
        <row r="5485">
          <cell r="B5485">
            <v>39046</v>
          </cell>
          <cell r="C5485">
            <v>2298.52</v>
          </cell>
        </row>
        <row r="5486">
          <cell r="B5486">
            <v>39047</v>
          </cell>
          <cell r="C5486">
            <v>2298.52</v>
          </cell>
        </row>
        <row r="5487">
          <cell r="B5487">
            <v>39048</v>
          </cell>
          <cell r="C5487">
            <v>2298.52</v>
          </cell>
        </row>
        <row r="5488">
          <cell r="B5488">
            <v>39049</v>
          </cell>
          <cell r="C5488">
            <v>2320.64</v>
          </cell>
        </row>
        <row r="5489">
          <cell r="B5489">
            <v>39050</v>
          </cell>
          <cell r="C5489">
            <v>2317.35</v>
          </cell>
        </row>
        <row r="5490">
          <cell r="B5490">
            <v>39051</v>
          </cell>
          <cell r="C5490">
            <v>2300.42</v>
          </cell>
        </row>
        <row r="5491">
          <cell r="B5491">
            <v>39052</v>
          </cell>
          <cell r="C5491">
            <v>2295.9899999999998</v>
          </cell>
        </row>
        <row r="5492">
          <cell r="B5492">
            <v>39053</v>
          </cell>
          <cell r="C5492">
            <v>2293.42</v>
          </cell>
        </row>
        <row r="5493">
          <cell r="B5493">
            <v>39054</v>
          </cell>
          <cell r="C5493">
            <v>2293.42</v>
          </cell>
        </row>
        <row r="5494">
          <cell r="B5494">
            <v>39055</v>
          </cell>
          <cell r="C5494">
            <v>2293.42</v>
          </cell>
        </row>
        <row r="5495">
          <cell r="B5495">
            <v>39056</v>
          </cell>
          <cell r="C5495">
            <v>2292.63</v>
          </cell>
        </row>
        <row r="5496">
          <cell r="B5496">
            <v>39057</v>
          </cell>
          <cell r="C5496">
            <v>2278.9699999999998</v>
          </cell>
        </row>
        <row r="5497">
          <cell r="B5497">
            <v>39058</v>
          </cell>
          <cell r="C5497">
            <v>2279.8200000000002</v>
          </cell>
        </row>
        <row r="5498">
          <cell r="B5498">
            <v>39059</v>
          </cell>
          <cell r="C5498">
            <v>2280.5</v>
          </cell>
        </row>
        <row r="5499">
          <cell r="B5499">
            <v>39060</v>
          </cell>
          <cell r="C5499">
            <v>2280.5</v>
          </cell>
        </row>
        <row r="5500">
          <cell r="B5500">
            <v>39061</v>
          </cell>
          <cell r="C5500">
            <v>2280.5</v>
          </cell>
        </row>
        <row r="5501">
          <cell r="B5501">
            <v>39062</v>
          </cell>
          <cell r="C5501">
            <v>2280.5</v>
          </cell>
        </row>
        <row r="5502">
          <cell r="B5502">
            <v>39063</v>
          </cell>
          <cell r="C5502">
            <v>2272.09</v>
          </cell>
        </row>
        <row r="5503">
          <cell r="B5503">
            <v>39064</v>
          </cell>
          <cell r="C5503">
            <v>2272.27</v>
          </cell>
        </row>
        <row r="5504">
          <cell r="B5504">
            <v>39065</v>
          </cell>
          <cell r="C5504">
            <v>2272.75</v>
          </cell>
        </row>
        <row r="5505">
          <cell r="B5505">
            <v>39066</v>
          </cell>
          <cell r="C5505">
            <v>2270.1799999999998</v>
          </cell>
        </row>
        <row r="5506">
          <cell r="B5506">
            <v>39067</v>
          </cell>
          <cell r="C5506">
            <v>2262.15</v>
          </cell>
        </row>
        <row r="5507">
          <cell r="B5507">
            <v>39068</v>
          </cell>
          <cell r="C5507">
            <v>2262.15</v>
          </cell>
        </row>
        <row r="5508">
          <cell r="B5508">
            <v>39069</v>
          </cell>
          <cell r="C5508">
            <v>2262.15</v>
          </cell>
        </row>
        <row r="5509">
          <cell r="B5509">
            <v>39070</v>
          </cell>
          <cell r="C5509">
            <v>2255.38</v>
          </cell>
        </row>
        <row r="5510">
          <cell r="B5510">
            <v>39071</v>
          </cell>
          <cell r="C5510">
            <v>2249.2800000000002</v>
          </cell>
        </row>
        <row r="5511">
          <cell r="B5511">
            <v>39072</v>
          </cell>
          <cell r="C5511">
            <v>2234.36</v>
          </cell>
        </row>
        <row r="5512">
          <cell r="B5512">
            <v>39073</v>
          </cell>
          <cell r="C5512">
            <v>2229.2800000000002</v>
          </cell>
        </row>
        <row r="5513">
          <cell r="B5513">
            <v>39074</v>
          </cell>
          <cell r="C5513">
            <v>2228.7600000000002</v>
          </cell>
        </row>
        <row r="5514">
          <cell r="B5514">
            <v>39075</v>
          </cell>
          <cell r="C5514">
            <v>2228.7600000000002</v>
          </cell>
        </row>
        <row r="5515">
          <cell r="B5515">
            <v>39076</v>
          </cell>
          <cell r="C5515">
            <v>2228.7600000000002</v>
          </cell>
        </row>
        <row r="5516">
          <cell r="B5516">
            <v>39077</v>
          </cell>
          <cell r="C5516">
            <v>2228.7600000000002</v>
          </cell>
        </row>
        <row r="5517">
          <cell r="B5517">
            <v>39078</v>
          </cell>
          <cell r="C5517">
            <v>2225.44</v>
          </cell>
        </row>
        <row r="5518">
          <cell r="B5518">
            <v>39079</v>
          </cell>
          <cell r="C5518">
            <v>2233.31</v>
          </cell>
        </row>
        <row r="5519">
          <cell r="B5519">
            <v>39080</v>
          </cell>
          <cell r="C5519">
            <v>2238.79</v>
          </cell>
        </row>
        <row r="5520">
          <cell r="B5520">
            <v>39081</v>
          </cell>
          <cell r="C5520">
            <v>2238.79</v>
          </cell>
        </row>
        <row r="5521">
          <cell r="B5521">
            <v>39082</v>
          </cell>
          <cell r="C5521">
            <v>2238.79</v>
          </cell>
        </row>
        <row r="5522">
          <cell r="B5522">
            <v>39083</v>
          </cell>
          <cell r="C5522">
            <v>2238.79</v>
          </cell>
        </row>
        <row r="5523">
          <cell r="B5523">
            <v>39084</v>
          </cell>
          <cell r="C5523">
            <v>2238.79</v>
          </cell>
        </row>
        <row r="5524">
          <cell r="B5524">
            <v>39085</v>
          </cell>
          <cell r="C5524">
            <v>2231.42</v>
          </cell>
        </row>
        <row r="5525">
          <cell r="B5525">
            <v>39086</v>
          </cell>
          <cell r="C5525">
            <v>2218.11</v>
          </cell>
        </row>
        <row r="5526">
          <cell r="B5526">
            <v>39087</v>
          </cell>
          <cell r="C5526">
            <v>2218.0500000000002</v>
          </cell>
        </row>
        <row r="5527">
          <cell r="B5527">
            <v>39088</v>
          </cell>
          <cell r="C5527">
            <v>2228.38</v>
          </cell>
        </row>
        <row r="5528">
          <cell r="B5528">
            <v>39089</v>
          </cell>
          <cell r="C5528">
            <v>2228.38</v>
          </cell>
        </row>
        <row r="5529">
          <cell r="B5529">
            <v>39090</v>
          </cell>
          <cell r="C5529">
            <v>2228.38</v>
          </cell>
        </row>
        <row r="5530">
          <cell r="B5530">
            <v>39091</v>
          </cell>
          <cell r="C5530">
            <v>2228.38</v>
          </cell>
        </row>
        <row r="5531">
          <cell r="B5531">
            <v>39092</v>
          </cell>
          <cell r="C5531">
            <v>2238.52</v>
          </cell>
        </row>
        <row r="5532">
          <cell r="B5532">
            <v>39093</v>
          </cell>
          <cell r="C5532">
            <v>2250.6</v>
          </cell>
        </row>
        <row r="5533">
          <cell r="B5533">
            <v>39094</v>
          </cell>
          <cell r="C5533">
            <v>2231.48</v>
          </cell>
        </row>
        <row r="5534">
          <cell r="B5534">
            <v>39095</v>
          </cell>
          <cell r="C5534">
            <v>2221.35</v>
          </cell>
        </row>
        <row r="5535">
          <cell r="B5535">
            <v>39096</v>
          </cell>
          <cell r="C5535">
            <v>2221.35</v>
          </cell>
        </row>
        <row r="5536">
          <cell r="B5536">
            <v>39097</v>
          </cell>
          <cell r="C5536">
            <v>2221.35</v>
          </cell>
        </row>
        <row r="5537">
          <cell r="B5537">
            <v>39098</v>
          </cell>
          <cell r="C5537">
            <v>2221.35</v>
          </cell>
        </row>
        <row r="5538">
          <cell r="B5538">
            <v>39099</v>
          </cell>
          <cell r="C5538">
            <v>2221.96</v>
          </cell>
        </row>
        <row r="5539">
          <cell r="B5539">
            <v>39100</v>
          </cell>
          <cell r="C5539">
            <v>2224.2199999999998</v>
          </cell>
        </row>
        <row r="5540">
          <cell r="B5540">
            <v>39101</v>
          </cell>
          <cell r="C5540">
            <v>2226.06</v>
          </cell>
        </row>
        <row r="5541">
          <cell r="B5541">
            <v>39102</v>
          </cell>
          <cell r="C5541">
            <v>2229.29</v>
          </cell>
        </row>
        <row r="5542">
          <cell r="B5542">
            <v>39103</v>
          </cell>
          <cell r="C5542">
            <v>2229.29</v>
          </cell>
        </row>
        <row r="5543">
          <cell r="B5543">
            <v>39104</v>
          </cell>
          <cell r="C5543">
            <v>2229.29</v>
          </cell>
        </row>
        <row r="5544">
          <cell r="B5544">
            <v>39105</v>
          </cell>
          <cell r="C5544">
            <v>2240.3200000000002</v>
          </cell>
        </row>
        <row r="5545">
          <cell r="B5545">
            <v>39106</v>
          </cell>
          <cell r="C5545">
            <v>2250.38</v>
          </cell>
        </row>
        <row r="5546">
          <cell r="B5546">
            <v>39107</v>
          </cell>
          <cell r="C5546">
            <v>2254.67</v>
          </cell>
        </row>
        <row r="5547">
          <cell r="B5547">
            <v>39108</v>
          </cell>
          <cell r="C5547">
            <v>2252.88</v>
          </cell>
        </row>
        <row r="5548">
          <cell r="B5548">
            <v>39109</v>
          </cell>
          <cell r="C5548">
            <v>2259.4299999999998</v>
          </cell>
        </row>
        <row r="5549">
          <cell r="B5549">
            <v>39110</v>
          </cell>
          <cell r="C5549">
            <v>2259.4299999999998</v>
          </cell>
        </row>
        <row r="5550">
          <cell r="B5550">
            <v>39111</v>
          </cell>
          <cell r="C5550">
            <v>2259.4299999999998</v>
          </cell>
        </row>
        <row r="5551">
          <cell r="B5551">
            <v>39112</v>
          </cell>
          <cell r="C5551">
            <v>2261.2199999999998</v>
          </cell>
        </row>
        <row r="5552">
          <cell r="B5552">
            <v>39113</v>
          </cell>
          <cell r="C5552">
            <v>2259.7199999999998</v>
          </cell>
        </row>
        <row r="5553">
          <cell r="B5553">
            <v>39114</v>
          </cell>
          <cell r="C5553">
            <v>2255.17</v>
          </cell>
        </row>
        <row r="5554">
          <cell r="B5554">
            <v>39115</v>
          </cell>
          <cell r="C5554">
            <v>2246.06</v>
          </cell>
        </row>
        <row r="5555">
          <cell r="B5555">
            <v>39116</v>
          </cell>
          <cell r="C5555">
            <v>2241.5300000000002</v>
          </cell>
        </row>
        <row r="5556">
          <cell r="B5556">
            <v>39117</v>
          </cell>
          <cell r="C5556">
            <v>2241.5300000000002</v>
          </cell>
        </row>
        <row r="5557">
          <cell r="B5557">
            <v>39118</v>
          </cell>
          <cell r="C5557">
            <v>2241.5300000000002</v>
          </cell>
        </row>
        <row r="5558">
          <cell r="B5558">
            <v>39119</v>
          </cell>
          <cell r="C5558">
            <v>2229.3000000000002</v>
          </cell>
        </row>
        <row r="5559">
          <cell r="B5559">
            <v>39120</v>
          </cell>
          <cell r="C5559">
            <v>2232.37</v>
          </cell>
        </row>
        <row r="5560">
          <cell r="B5560">
            <v>39121</v>
          </cell>
          <cell r="C5560">
            <v>2235.3000000000002</v>
          </cell>
        </row>
        <row r="5561">
          <cell r="B5561">
            <v>39122</v>
          </cell>
          <cell r="C5561">
            <v>2239.1999999999998</v>
          </cell>
        </row>
        <row r="5562">
          <cell r="B5562">
            <v>39123</v>
          </cell>
          <cell r="C5562">
            <v>2229.87</v>
          </cell>
        </row>
        <row r="5563">
          <cell r="B5563">
            <v>39124</v>
          </cell>
          <cell r="C5563">
            <v>2229.87</v>
          </cell>
        </row>
        <row r="5564">
          <cell r="B5564">
            <v>39125</v>
          </cell>
          <cell r="C5564">
            <v>2229.87</v>
          </cell>
        </row>
        <row r="5565">
          <cell r="B5565">
            <v>39126</v>
          </cell>
          <cell r="C5565">
            <v>2230.4</v>
          </cell>
        </row>
        <row r="5566">
          <cell r="B5566">
            <v>39127</v>
          </cell>
          <cell r="C5566">
            <v>2223.3000000000002</v>
          </cell>
        </row>
        <row r="5567">
          <cell r="B5567">
            <v>39128</v>
          </cell>
          <cell r="C5567">
            <v>2221.4299999999998</v>
          </cell>
        </row>
        <row r="5568">
          <cell r="B5568">
            <v>39129</v>
          </cell>
          <cell r="C5568">
            <v>2219.15</v>
          </cell>
        </row>
        <row r="5569">
          <cell r="B5569">
            <v>39130</v>
          </cell>
          <cell r="C5569">
            <v>2221.6999999999998</v>
          </cell>
        </row>
        <row r="5570">
          <cell r="B5570">
            <v>39131</v>
          </cell>
          <cell r="C5570">
            <v>2221.6999999999998</v>
          </cell>
        </row>
        <row r="5571">
          <cell r="B5571">
            <v>39132</v>
          </cell>
          <cell r="C5571">
            <v>2221.6999999999998</v>
          </cell>
        </row>
        <row r="5572">
          <cell r="B5572">
            <v>39133</v>
          </cell>
          <cell r="C5572">
            <v>2221.6999999999998</v>
          </cell>
        </row>
        <row r="5573">
          <cell r="B5573">
            <v>39134</v>
          </cell>
          <cell r="C5573">
            <v>2220.7600000000002</v>
          </cell>
        </row>
        <row r="5574">
          <cell r="B5574">
            <v>39135</v>
          </cell>
          <cell r="C5574">
            <v>2218.7800000000002</v>
          </cell>
        </row>
        <row r="5575">
          <cell r="B5575">
            <v>39136</v>
          </cell>
          <cell r="C5575">
            <v>2214.44</v>
          </cell>
        </row>
        <row r="5576">
          <cell r="B5576">
            <v>39137</v>
          </cell>
          <cell r="C5576">
            <v>2216.5700000000002</v>
          </cell>
        </row>
        <row r="5577">
          <cell r="B5577">
            <v>39138</v>
          </cell>
          <cell r="C5577">
            <v>2216.5700000000002</v>
          </cell>
        </row>
        <row r="5578">
          <cell r="B5578">
            <v>39139</v>
          </cell>
          <cell r="C5578">
            <v>2216.5700000000002</v>
          </cell>
        </row>
        <row r="5579">
          <cell r="B5579">
            <v>39140</v>
          </cell>
          <cell r="C5579">
            <v>2211.46</v>
          </cell>
        </row>
        <row r="5580">
          <cell r="B5580">
            <v>39141</v>
          </cell>
          <cell r="C5580">
            <v>2224.12</v>
          </cell>
        </row>
        <row r="5581">
          <cell r="B5581">
            <v>39142</v>
          </cell>
          <cell r="C5581">
            <v>2231.94</v>
          </cell>
        </row>
        <row r="5582">
          <cell r="B5582">
            <v>39143</v>
          </cell>
          <cell r="C5582">
            <v>2246.88</v>
          </cell>
        </row>
        <row r="5583">
          <cell r="B5583">
            <v>39144</v>
          </cell>
          <cell r="C5583">
            <v>2242.62</v>
          </cell>
        </row>
        <row r="5584">
          <cell r="B5584">
            <v>39145</v>
          </cell>
          <cell r="C5584">
            <v>2242.62</v>
          </cell>
        </row>
        <row r="5585">
          <cell r="B5585">
            <v>39146</v>
          </cell>
          <cell r="C5585">
            <v>2242.62</v>
          </cell>
        </row>
        <row r="5586">
          <cell r="B5586">
            <v>39147</v>
          </cell>
          <cell r="C5586">
            <v>2245.71</v>
          </cell>
        </row>
        <row r="5587">
          <cell r="B5587">
            <v>39148</v>
          </cell>
          <cell r="C5587">
            <v>2222.4499999999998</v>
          </cell>
        </row>
        <row r="5588">
          <cell r="B5588">
            <v>39149</v>
          </cell>
          <cell r="C5588">
            <v>2218.94</v>
          </cell>
        </row>
        <row r="5589">
          <cell r="B5589">
            <v>39150</v>
          </cell>
          <cell r="C5589">
            <v>2214.0500000000002</v>
          </cell>
        </row>
        <row r="5590">
          <cell r="B5590">
            <v>39151</v>
          </cell>
          <cell r="C5590">
            <v>2210.98</v>
          </cell>
        </row>
        <row r="5591">
          <cell r="B5591">
            <v>39152</v>
          </cell>
          <cell r="C5591">
            <v>2210.98</v>
          </cell>
        </row>
        <row r="5592">
          <cell r="B5592">
            <v>39153</v>
          </cell>
          <cell r="C5592">
            <v>2210.98</v>
          </cell>
        </row>
        <row r="5593">
          <cell r="B5593">
            <v>39154</v>
          </cell>
          <cell r="C5593">
            <v>2205.77</v>
          </cell>
        </row>
        <row r="5594">
          <cell r="B5594">
            <v>39155</v>
          </cell>
          <cell r="C5594">
            <v>2206.38</v>
          </cell>
        </row>
        <row r="5595">
          <cell r="B5595">
            <v>39156</v>
          </cell>
          <cell r="C5595">
            <v>2210.12</v>
          </cell>
        </row>
        <row r="5596">
          <cell r="B5596">
            <v>39157</v>
          </cell>
          <cell r="C5596">
            <v>2197.7600000000002</v>
          </cell>
        </row>
        <row r="5597">
          <cell r="B5597">
            <v>39158</v>
          </cell>
          <cell r="C5597">
            <v>2204.0500000000002</v>
          </cell>
        </row>
        <row r="5598">
          <cell r="B5598">
            <v>39159</v>
          </cell>
          <cell r="C5598">
            <v>2204.0500000000002</v>
          </cell>
        </row>
        <row r="5599">
          <cell r="B5599">
            <v>39160</v>
          </cell>
          <cell r="C5599">
            <v>2204.0500000000002</v>
          </cell>
        </row>
        <row r="5600">
          <cell r="B5600">
            <v>39161</v>
          </cell>
          <cell r="C5600">
            <v>2204.0500000000002</v>
          </cell>
        </row>
        <row r="5601">
          <cell r="B5601">
            <v>39162</v>
          </cell>
          <cell r="C5601">
            <v>2186.21</v>
          </cell>
        </row>
        <row r="5602">
          <cell r="B5602">
            <v>39163</v>
          </cell>
          <cell r="C5602">
            <v>2172.6</v>
          </cell>
        </row>
        <row r="5603">
          <cell r="B5603">
            <v>39164</v>
          </cell>
          <cell r="C5603">
            <v>2168.9499999999998</v>
          </cell>
        </row>
        <row r="5604">
          <cell r="B5604">
            <v>39165</v>
          </cell>
          <cell r="C5604">
            <v>2174.7199999999998</v>
          </cell>
        </row>
        <row r="5605">
          <cell r="B5605">
            <v>39166</v>
          </cell>
          <cell r="C5605">
            <v>2174.7199999999998</v>
          </cell>
        </row>
        <row r="5606">
          <cell r="B5606">
            <v>39167</v>
          </cell>
          <cell r="C5606">
            <v>2174.7199999999998</v>
          </cell>
        </row>
        <row r="5607">
          <cell r="B5607">
            <v>39168</v>
          </cell>
          <cell r="C5607">
            <v>2172.14</v>
          </cell>
        </row>
        <row r="5608">
          <cell r="B5608">
            <v>39169</v>
          </cell>
          <cell r="C5608">
            <v>2172.09</v>
          </cell>
        </row>
        <row r="5609">
          <cell r="B5609">
            <v>39170</v>
          </cell>
          <cell r="C5609">
            <v>2169.67</v>
          </cell>
        </row>
        <row r="5610">
          <cell r="B5610">
            <v>39171</v>
          </cell>
          <cell r="C5610">
            <v>2155.06</v>
          </cell>
        </row>
        <row r="5611">
          <cell r="B5611">
            <v>39172</v>
          </cell>
          <cell r="C5611">
            <v>2190.3000000000002</v>
          </cell>
        </row>
        <row r="5612">
          <cell r="B5612">
            <v>39173</v>
          </cell>
          <cell r="C5612">
            <v>2190.3000000000002</v>
          </cell>
        </row>
        <row r="5613">
          <cell r="B5613">
            <v>39174</v>
          </cell>
          <cell r="C5613">
            <v>2190.3000000000002</v>
          </cell>
        </row>
        <row r="5614">
          <cell r="B5614">
            <v>39175</v>
          </cell>
          <cell r="C5614">
            <v>2189.1799999999998</v>
          </cell>
        </row>
        <row r="5615">
          <cell r="B5615">
            <v>39176</v>
          </cell>
          <cell r="C5615">
            <v>2171.4699999999998</v>
          </cell>
        </row>
        <row r="5616">
          <cell r="B5616">
            <v>39177</v>
          </cell>
          <cell r="C5616">
            <v>2166.9299999999998</v>
          </cell>
        </row>
        <row r="5617">
          <cell r="B5617">
            <v>39178</v>
          </cell>
          <cell r="C5617">
            <v>2166.9299999999998</v>
          </cell>
        </row>
        <row r="5618">
          <cell r="B5618">
            <v>39179</v>
          </cell>
          <cell r="C5618">
            <v>2166.9299999999998</v>
          </cell>
        </row>
        <row r="5619">
          <cell r="B5619">
            <v>39180</v>
          </cell>
          <cell r="C5619">
            <v>2166.9299999999998</v>
          </cell>
        </row>
        <row r="5620">
          <cell r="B5620">
            <v>39181</v>
          </cell>
          <cell r="C5620">
            <v>2166.9299999999998</v>
          </cell>
        </row>
        <row r="5621">
          <cell r="B5621">
            <v>39182</v>
          </cell>
          <cell r="C5621">
            <v>2164.5500000000002</v>
          </cell>
        </row>
        <row r="5622">
          <cell r="B5622">
            <v>39183</v>
          </cell>
          <cell r="C5622">
            <v>2157.8200000000002</v>
          </cell>
        </row>
        <row r="5623">
          <cell r="B5623">
            <v>39184</v>
          </cell>
          <cell r="C5623">
            <v>2154.61</v>
          </cell>
        </row>
        <row r="5624">
          <cell r="B5624">
            <v>39185</v>
          </cell>
          <cell r="C5624">
            <v>2152.65</v>
          </cell>
        </row>
        <row r="5625">
          <cell r="B5625">
            <v>39186</v>
          </cell>
          <cell r="C5625">
            <v>2138.7399999999998</v>
          </cell>
        </row>
        <row r="5626">
          <cell r="B5626">
            <v>39187</v>
          </cell>
          <cell r="C5626">
            <v>2138.7399999999998</v>
          </cell>
        </row>
        <row r="5627">
          <cell r="B5627">
            <v>39188</v>
          </cell>
          <cell r="C5627">
            <v>2138.7399999999998</v>
          </cell>
        </row>
        <row r="5628">
          <cell r="B5628">
            <v>39189</v>
          </cell>
          <cell r="C5628">
            <v>2136.8200000000002</v>
          </cell>
        </row>
        <row r="5629">
          <cell r="B5629">
            <v>39190</v>
          </cell>
          <cell r="C5629">
            <v>2141.35</v>
          </cell>
        </row>
        <row r="5630">
          <cell r="B5630">
            <v>39191</v>
          </cell>
          <cell r="C5630">
            <v>2148.46</v>
          </cell>
        </row>
        <row r="5631">
          <cell r="B5631">
            <v>39192</v>
          </cell>
          <cell r="C5631">
            <v>2143.31</v>
          </cell>
        </row>
        <row r="5632">
          <cell r="B5632">
            <v>39193</v>
          </cell>
          <cell r="C5632">
            <v>2121.42</v>
          </cell>
        </row>
        <row r="5633">
          <cell r="B5633">
            <v>39194</v>
          </cell>
          <cell r="C5633">
            <v>2121.42</v>
          </cell>
        </row>
        <row r="5634">
          <cell r="B5634">
            <v>39195</v>
          </cell>
          <cell r="C5634">
            <v>2121.42</v>
          </cell>
        </row>
        <row r="5635">
          <cell r="B5635">
            <v>39196</v>
          </cell>
          <cell r="C5635">
            <v>2115.56</v>
          </cell>
        </row>
        <row r="5636">
          <cell r="B5636">
            <v>39197</v>
          </cell>
          <cell r="C5636">
            <v>2119.37</v>
          </cell>
        </row>
        <row r="5637">
          <cell r="B5637">
            <v>39198</v>
          </cell>
          <cell r="C5637">
            <v>2112.61</v>
          </cell>
        </row>
        <row r="5638">
          <cell r="B5638">
            <v>39199</v>
          </cell>
          <cell r="C5638">
            <v>2111.52</v>
          </cell>
        </row>
        <row r="5639">
          <cell r="B5639">
            <v>39200</v>
          </cell>
          <cell r="C5639">
            <v>2110.67</v>
          </cell>
        </row>
        <row r="5640">
          <cell r="B5640">
            <v>39201</v>
          </cell>
          <cell r="C5640">
            <v>2110.67</v>
          </cell>
        </row>
        <row r="5641">
          <cell r="B5641">
            <v>39202</v>
          </cell>
          <cell r="C5641">
            <v>2110.67</v>
          </cell>
        </row>
        <row r="5642">
          <cell r="B5642">
            <v>39203</v>
          </cell>
          <cell r="C5642">
            <v>2104.16</v>
          </cell>
        </row>
        <row r="5643">
          <cell r="B5643">
            <v>39204</v>
          </cell>
          <cell r="C5643">
            <v>2104.16</v>
          </cell>
        </row>
        <row r="5644">
          <cell r="B5644">
            <v>39205</v>
          </cell>
          <cell r="C5644">
            <v>2085.1799999999998</v>
          </cell>
        </row>
        <row r="5645">
          <cell r="B5645">
            <v>39206</v>
          </cell>
          <cell r="C5645">
            <v>2077.12</v>
          </cell>
        </row>
        <row r="5646">
          <cell r="B5646">
            <v>39207</v>
          </cell>
          <cell r="C5646">
            <v>2069.0100000000002</v>
          </cell>
        </row>
        <row r="5647">
          <cell r="B5647">
            <v>39208</v>
          </cell>
          <cell r="C5647">
            <v>2069.0100000000002</v>
          </cell>
        </row>
        <row r="5648">
          <cell r="B5648">
            <v>39209</v>
          </cell>
          <cell r="C5648">
            <v>2069.0100000000002</v>
          </cell>
        </row>
        <row r="5649">
          <cell r="B5649">
            <v>39210</v>
          </cell>
          <cell r="C5649">
            <v>2081.2399999999998</v>
          </cell>
        </row>
        <row r="5650">
          <cell r="B5650">
            <v>39211</v>
          </cell>
          <cell r="C5650">
            <v>2074.0300000000002</v>
          </cell>
        </row>
        <row r="5651">
          <cell r="B5651">
            <v>39212</v>
          </cell>
          <cell r="C5651">
            <v>2045.51</v>
          </cell>
        </row>
        <row r="5652">
          <cell r="B5652">
            <v>39213</v>
          </cell>
          <cell r="C5652">
            <v>2041.39</v>
          </cell>
        </row>
        <row r="5653">
          <cell r="B5653">
            <v>39214</v>
          </cell>
          <cell r="C5653">
            <v>2029.2</v>
          </cell>
        </row>
        <row r="5654">
          <cell r="B5654">
            <v>39215</v>
          </cell>
          <cell r="C5654">
            <v>2029.2</v>
          </cell>
        </row>
        <row r="5655">
          <cell r="B5655">
            <v>39216</v>
          </cell>
          <cell r="C5655">
            <v>2029.2</v>
          </cell>
        </row>
        <row r="5656">
          <cell r="B5656">
            <v>39217</v>
          </cell>
          <cell r="C5656">
            <v>2002.04</v>
          </cell>
        </row>
        <row r="5657">
          <cell r="B5657">
            <v>39218</v>
          </cell>
          <cell r="C5657">
            <v>1995.17</v>
          </cell>
        </row>
        <row r="5658">
          <cell r="B5658">
            <v>39219</v>
          </cell>
          <cell r="C5658">
            <v>1988.01</v>
          </cell>
        </row>
        <row r="5659">
          <cell r="B5659">
            <v>39220</v>
          </cell>
          <cell r="C5659">
            <v>1990.43</v>
          </cell>
        </row>
        <row r="5660">
          <cell r="B5660">
            <v>39221</v>
          </cell>
          <cell r="C5660">
            <v>1985.33</v>
          </cell>
        </row>
        <row r="5661">
          <cell r="B5661">
            <v>39222</v>
          </cell>
          <cell r="C5661">
            <v>1985.33</v>
          </cell>
        </row>
        <row r="5662">
          <cell r="B5662">
            <v>39223</v>
          </cell>
          <cell r="C5662">
            <v>1985.33</v>
          </cell>
        </row>
        <row r="5663">
          <cell r="B5663">
            <v>39224</v>
          </cell>
          <cell r="C5663">
            <v>1985.33</v>
          </cell>
        </row>
        <row r="5664">
          <cell r="B5664">
            <v>39225</v>
          </cell>
          <cell r="C5664">
            <v>1957.54</v>
          </cell>
        </row>
        <row r="5665">
          <cell r="B5665">
            <v>39226</v>
          </cell>
          <cell r="C5665">
            <v>1963.56</v>
          </cell>
        </row>
        <row r="5666">
          <cell r="B5666">
            <v>39227</v>
          </cell>
          <cell r="C5666">
            <v>1962.59</v>
          </cell>
        </row>
        <row r="5667">
          <cell r="B5667">
            <v>39228</v>
          </cell>
          <cell r="C5667">
            <v>1934.55</v>
          </cell>
        </row>
        <row r="5668">
          <cell r="B5668">
            <v>39229</v>
          </cell>
          <cell r="C5668">
            <v>1934.55</v>
          </cell>
        </row>
        <row r="5669">
          <cell r="B5669">
            <v>39230</v>
          </cell>
          <cell r="C5669">
            <v>1934.55</v>
          </cell>
        </row>
        <row r="5670">
          <cell r="B5670">
            <v>39231</v>
          </cell>
          <cell r="C5670">
            <v>1934.55</v>
          </cell>
        </row>
        <row r="5671">
          <cell r="B5671">
            <v>39232</v>
          </cell>
          <cell r="C5671">
            <v>1914.96</v>
          </cell>
        </row>
        <row r="5672">
          <cell r="B5672">
            <v>39233</v>
          </cell>
          <cell r="C5672">
            <v>1930.64</v>
          </cell>
        </row>
        <row r="5673">
          <cell r="B5673">
            <v>39234</v>
          </cell>
          <cell r="C5673">
            <v>1900.09</v>
          </cell>
        </row>
        <row r="5674">
          <cell r="B5674">
            <v>39235</v>
          </cell>
          <cell r="C5674">
            <v>1885.8</v>
          </cell>
        </row>
        <row r="5675">
          <cell r="B5675">
            <v>39236</v>
          </cell>
          <cell r="C5675">
            <v>1885.8</v>
          </cell>
        </row>
        <row r="5676">
          <cell r="B5676">
            <v>39237</v>
          </cell>
          <cell r="C5676">
            <v>1885.8</v>
          </cell>
        </row>
        <row r="5677">
          <cell r="B5677">
            <v>39238</v>
          </cell>
          <cell r="C5677">
            <v>1882.06</v>
          </cell>
        </row>
        <row r="5678">
          <cell r="B5678">
            <v>39239</v>
          </cell>
          <cell r="C5678">
            <v>1877.88</v>
          </cell>
        </row>
        <row r="5679">
          <cell r="B5679">
            <v>39240</v>
          </cell>
          <cell r="C5679">
            <v>1886.92</v>
          </cell>
        </row>
        <row r="5680">
          <cell r="B5680">
            <v>39241</v>
          </cell>
          <cell r="C5680">
            <v>1900.68</v>
          </cell>
        </row>
        <row r="5681">
          <cell r="B5681">
            <v>39242</v>
          </cell>
          <cell r="C5681">
            <v>1924.54</v>
          </cell>
        </row>
        <row r="5682">
          <cell r="B5682">
            <v>39243</v>
          </cell>
          <cell r="C5682">
            <v>1924.54</v>
          </cell>
        </row>
        <row r="5683">
          <cell r="B5683">
            <v>39244</v>
          </cell>
          <cell r="C5683">
            <v>1924.54</v>
          </cell>
        </row>
        <row r="5684">
          <cell r="B5684">
            <v>39245</v>
          </cell>
          <cell r="C5684">
            <v>1924.54</v>
          </cell>
        </row>
        <row r="5685">
          <cell r="B5685">
            <v>39246</v>
          </cell>
          <cell r="C5685">
            <v>1931.36</v>
          </cell>
        </row>
        <row r="5686">
          <cell r="B5686">
            <v>39247</v>
          </cell>
          <cell r="C5686">
            <v>1947.37</v>
          </cell>
        </row>
        <row r="5687">
          <cell r="B5687">
            <v>39248</v>
          </cell>
          <cell r="C5687">
            <v>1945.09</v>
          </cell>
        </row>
        <row r="5688">
          <cell r="B5688">
            <v>39249</v>
          </cell>
          <cell r="C5688">
            <v>1920.25</v>
          </cell>
        </row>
        <row r="5689">
          <cell r="B5689">
            <v>39250</v>
          </cell>
          <cell r="C5689">
            <v>1920.25</v>
          </cell>
        </row>
        <row r="5690">
          <cell r="B5690">
            <v>39251</v>
          </cell>
          <cell r="C5690">
            <v>1920.25</v>
          </cell>
        </row>
        <row r="5691">
          <cell r="B5691">
            <v>39252</v>
          </cell>
          <cell r="C5691">
            <v>1920.25</v>
          </cell>
        </row>
        <row r="5692">
          <cell r="B5692">
            <v>39253</v>
          </cell>
          <cell r="C5692">
            <v>1896.07</v>
          </cell>
        </row>
        <row r="5693">
          <cell r="B5693">
            <v>39254</v>
          </cell>
          <cell r="C5693">
            <v>1905.13</v>
          </cell>
        </row>
        <row r="5694">
          <cell r="B5694">
            <v>39255</v>
          </cell>
          <cell r="C5694">
            <v>1938.17</v>
          </cell>
        </row>
        <row r="5695">
          <cell r="B5695">
            <v>39256</v>
          </cell>
          <cell r="C5695">
            <v>1944.01</v>
          </cell>
        </row>
        <row r="5696">
          <cell r="B5696">
            <v>39257</v>
          </cell>
          <cell r="C5696">
            <v>1944.01</v>
          </cell>
        </row>
        <row r="5697">
          <cell r="B5697">
            <v>39258</v>
          </cell>
          <cell r="C5697">
            <v>1944.01</v>
          </cell>
        </row>
        <row r="5698">
          <cell r="B5698">
            <v>39259</v>
          </cell>
          <cell r="C5698">
            <v>1960.32</v>
          </cell>
        </row>
        <row r="5699">
          <cell r="B5699">
            <v>39260</v>
          </cell>
          <cell r="C5699">
            <v>1965.31</v>
          </cell>
        </row>
        <row r="5700">
          <cell r="B5700">
            <v>39261</v>
          </cell>
          <cell r="C5700">
            <v>1982.29</v>
          </cell>
        </row>
        <row r="5701">
          <cell r="B5701">
            <v>39262</v>
          </cell>
          <cell r="C5701">
            <v>1958.09</v>
          </cell>
        </row>
        <row r="5702">
          <cell r="B5702">
            <v>39263</v>
          </cell>
          <cell r="C5702">
            <v>1960.61</v>
          </cell>
        </row>
        <row r="5703">
          <cell r="B5703">
            <v>39264</v>
          </cell>
          <cell r="C5703">
            <v>1960.61</v>
          </cell>
        </row>
        <row r="5704">
          <cell r="B5704">
            <v>39265</v>
          </cell>
          <cell r="C5704">
            <v>1960.61</v>
          </cell>
        </row>
        <row r="5705">
          <cell r="B5705">
            <v>39266</v>
          </cell>
          <cell r="C5705">
            <v>1960.61</v>
          </cell>
        </row>
        <row r="5706">
          <cell r="B5706">
            <v>39267</v>
          </cell>
          <cell r="C5706">
            <v>1958.95</v>
          </cell>
        </row>
        <row r="5707">
          <cell r="B5707">
            <v>39268</v>
          </cell>
          <cell r="C5707">
            <v>1958.95</v>
          </cell>
        </row>
        <row r="5708">
          <cell r="B5708">
            <v>39269</v>
          </cell>
          <cell r="C5708">
            <v>1969.36</v>
          </cell>
        </row>
        <row r="5709">
          <cell r="B5709">
            <v>39270</v>
          </cell>
          <cell r="C5709">
            <v>1962.55</v>
          </cell>
        </row>
        <row r="5710">
          <cell r="B5710">
            <v>39271</v>
          </cell>
          <cell r="C5710">
            <v>1962.55</v>
          </cell>
        </row>
        <row r="5711">
          <cell r="B5711">
            <v>39272</v>
          </cell>
          <cell r="C5711">
            <v>1962.55</v>
          </cell>
        </row>
        <row r="5712">
          <cell r="B5712">
            <v>39273</v>
          </cell>
          <cell r="C5712">
            <v>1945.94</v>
          </cell>
        </row>
        <row r="5713">
          <cell r="B5713">
            <v>39274</v>
          </cell>
          <cell r="C5713">
            <v>1960.31</v>
          </cell>
        </row>
        <row r="5714">
          <cell r="B5714">
            <v>39275</v>
          </cell>
          <cell r="C5714">
            <v>1964.82</v>
          </cell>
        </row>
        <row r="5715">
          <cell r="B5715">
            <v>39276</v>
          </cell>
          <cell r="C5715">
            <v>1954.48</v>
          </cell>
        </row>
        <row r="5716">
          <cell r="B5716">
            <v>39277</v>
          </cell>
          <cell r="C5716">
            <v>1956.05</v>
          </cell>
        </row>
        <row r="5717">
          <cell r="B5717">
            <v>39278</v>
          </cell>
          <cell r="C5717">
            <v>1956.05</v>
          </cell>
        </row>
        <row r="5718">
          <cell r="B5718">
            <v>39279</v>
          </cell>
          <cell r="C5718">
            <v>1956.05</v>
          </cell>
        </row>
        <row r="5719">
          <cell r="B5719">
            <v>39280</v>
          </cell>
          <cell r="C5719">
            <v>1942.43</v>
          </cell>
        </row>
        <row r="5720">
          <cell r="B5720">
            <v>39281</v>
          </cell>
          <cell r="C5720">
            <v>1931.04</v>
          </cell>
        </row>
        <row r="5721">
          <cell r="B5721">
            <v>39282</v>
          </cell>
          <cell r="C5721">
            <v>1928.59</v>
          </cell>
        </row>
        <row r="5722">
          <cell r="B5722">
            <v>39283</v>
          </cell>
          <cell r="C5722">
            <v>1921.04</v>
          </cell>
        </row>
        <row r="5723">
          <cell r="B5723">
            <v>39284</v>
          </cell>
          <cell r="C5723">
            <v>1921.04</v>
          </cell>
        </row>
        <row r="5724">
          <cell r="B5724">
            <v>39285</v>
          </cell>
          <cell r="C5724">
            <v>1921.04</v>
          </cell>
        </row>
        <row r="5725">
          <cell r="B5725">
            <v>39286</v>
          </cell>
          <cell r="C5725">
            <v>1921.04</v>
          </cell>
        </row>
        <row r="5726">
          <cell r="B5726">
            <v>39287</v>
          </cell>
          <cell r="C5726">
            <v>1912.9</v>
          </cell>
        </row>
        <row r="5727">
          <cell r="B5727">
            <v>39288</v>
          </cell>
          <cell r="C5727">
            <v>1916.23</v>
          </cell>
        </row>
        <row r="5728">
          <cell r="B5728">
            <v>39289</v>
          </cell>
          <cell r="C5728">
            <v>1935.68</v>
          </cell>
        </row>
        <row r="5729">
          <cell r="B5729">
            <v>39290</v>
          </cell>
          <cell r="C5729">
            <v>1981.58</v>
          </cell>
        </row>
        <row r="5730">
          <cell r="B5730">
            <v>39291</v>
          </cell>
          <cell r="C5730">
            <v>1984.1</v>
          </cell>
        </row>
        <row r="5731">
          <cell r="B5731">
            <v>39292</v>
          </cell>
          <cell r="C5731">
            <v>1984.1</v>
          </cell>
        </row>
        <row r="5732">
          <cell r="B5732">
            <v>39293</v>
          </cell>
          <cell r="C5732">
            <v>1984.1</v>
          </cell>
        </row>
        <row r="5733">
          <cell r="B5733">
            <v>39294</v>
          </cell>
          <cell r="C5733">
            <v>1971.8</v>
          </cell>
        </row>
        <row r="5734">
          <cell r="B5734">
            <v>39295</v>
          </cell>
          <cell r="C5734">
            <v>1958.5</v>
          </cell>
        </row>
        <row r="5735">
          <cell r="B5735">
            <v>39296</v>
          </cell>
          <cell r="C5735">
            <v>1971.2</v>
          </cell>
        </row>
        <row r="5736">
          <cell r="B5736">
            <v>39297</v>
          </cell>
          <cell r="C5736">
            <v>1957.68</v>
          </cell>
        </row>
        <row r="5737">
          <cell r="B5737">
            <v>39298</v>
          </cell>
          <cell r="C5737">
            <v>1963.69</v>
          </cell>
        </row>
        <row r="5738">
          <cell r="B5738">
            <v>39299</v>
          </cell>
          <cell r="C5738">
            <v>1963.69</v>
          </cell>
        </row>
        <row r="5739">
          <cell r="B5739">
            <v>39300</v>
          </cell>
          <cell r="C5739">
            <v>1963.69</v>
          </cell>
        </row>
        <row r="5740">
          <cell r="B5740">
            <v>39301</v>
          </cell>
          <cell r="C5740">
            <v>1976.89</v>
          </cell>
        </row>
        <row r="5741">
          <cell r="B5741">
            <v>39302</v>
          </cell>
          <cell r="C5741">
            <v>1976.89</v>
          </cell>
        </row>
        <row r="5742">
          <cell r="B5742">
            <v>39303</v>
          </cell>
          <cell r="C5742">
            <v>1957.58</v>
          </cell>
        </row>
        <row r="5743">
          <cell r="B5743">
            <v>39304</v>
          </cell>
          <cell r="C5743">
            <v>1981.9</v>
          </cell>
        </row>
        <row r="5744">
          <cell r="B5744">
            <v>39305</v>
          </cell>
          <cell r="C5744">
            <v>2006.79</v>
          </cell>
        </row>
        <row r="5745">
          <cell r="B5745">
            <v>39306</v>
          </cell>
          <cell r="C5745">
            <v>2006.79</v>
          </cell>
        </row>
        <row r="5746">
          <cell r="B5746">
            <v>39307</v>
          </cell>
          <cell r="C5746">
            <v>2006.79</v>
          </cell>
        </row>
        <row r="5747">
          <cell r="B5747">
            <v>39308</v>
          </cell>
          <cell r="C5747">
            <v>1997.38</v>
          </cell>
        </row>
        <row r="5748">
          <cell r="B5748">
            <v>39309</v>
          </cell>
          <cell r="C5748">
            <v>2016.3</v>
          </cell>
        </row>
        <row r="5749">
          <cell r="B5749">
            <v>39310</v>
          </cell>
          <cell r="C5749">
            <v>2048.44</v>
          </cell>
        </row>
        <row r="5750">
          <cell r="B5750">
            <v>39311</v>
          </cell>
          <cell r="C5750">
            <v>2124.4</v>
          </cell>
        </row>
        <row r="5751">
          <cell r="B5751">
            <v>39312</v>
          </cell>
          <cell r="C5751">
            <v>2113.54</v>
          </cell>
        </row>
        <row r="5752">
          <cell r="B5752">
            <v>39313</v>
          </cell>
          <cell r="C5752">
            <v>2113.54</v>
          </cell>
        </row>
        <row r="5753">
          <cell r="B5753">
            <v>39314</v>
          </cell>
          <cell r="C5753">
            <v>2113.54</v>
          </cell>
        </row>
        <row r="5754">
          <cell r="B5754">
            <v>39315</v>
          </cell>
          <cell r="C5754">
            <v>2113.54</v>
          </cell>
        </row>
        <row r="5755">
          <cell r="B5755">
            <v>39316</v>
          </cell>
          <cell r="C5755">
            <v>2154.94</v>
          </cell>
        </row>
        <row r="5756">
          <cell r="B5756">
            <v>39317</v>
          </cell>
          <cell r="C5756">
            <v>2133.04</v>
          </cell>
        </row>
        <row r="5757">
          <cell r="B5757">
            <v>39318</v>
          </cell>
          <cell r="C5757">
            <v>2138.13</v>
          </cell>
        </row>
        <row r="5758">
          <cell r="B5758">
            <v>39319</v>
          </cell>
          <cell r="C5758">
            <v>2128.17</v>
          </cell>
        </row>
        <row r="5759">
          <cell r="B5759">
            <v>39320</v>
          </cell>
          <cell r="C5759">
            <v>2128.17</v>
          </cell>
        </row>
        <row r="5760">
          <cell r="B5760">
            <v>39321</v>
          </cell>
          <cell r="C5760">
            <v>2128.17</v>
          </cell>
        </row>
        <row r="5761">
          <cell r="B5761">
            <v>39322</v>
          </cell>
          <cell r="C5761">
            <v>2114.15</v>
          </cell>
        </row>
        <row r="5762">
          <cell r="B5762">
            <v>39323</v>
          </cell>
          <cell r="C5762">
            <v>2147.34</v>
          </cell>
        </row>
        <row r="5763">
          <cell r="B5763">
            <v>39324</v>
          </cell>
          <cell r="C5763">
            <v>2160.65</v>
          </cell>
        </row>
        <row r="5764">
          <cell r="B5764">
            <v>39325</v>
          </cell>
          <cell r="C5764">
            <v>2173.17</v>
          </cell>
        </row>
        <row r="5765">
          <cell r="B5765">
            <v>39326</v>
          </cell>
          <cell r="C5765">
            <v>2160.9899999999998</v>
          </cell>
        </row>
        <row r="5766">
          <cell r="B5766">
            <v>39327</v>
          </cell>
          <cell r="C5766">
            <v>2160.9899999999998</v>
          </cell>
        </row>
        <row r="5767">
          <cell r="B5767">
            <v>39328</v>
          </cell>
          <cell r="C5767">
            <v>2160.9899999999998</v>
          </cell>
        </row>
        <row r="5768">
          <cell r="B5768">
            <v>39329</v>
          </cell>
          <cell r="C5768">
            <v>2160.9899999999998</v>
          </cell>
        </row>
        <row r="5769">
          <cell r="B5769">
            <v>39330</v>
          </cell>
          <cell r="C5769">
            <v>2161.56</v>
          </cell>
        </row>
        <row r="5770">
          <cell r="B5770">
            <v>39331</v>
          </cell>
          <cell r="C5770">
            <v>2174.56</v>
          </cell>
        </row>
        <row r="5771">
          <cell r="B5771">
            <v>39332</v>
          </cell>
          <cell r="C5771">
            <v>2166.6</v>
          </cell>
        </row>
        <row r="5772">
          <cell r="B5772">
            <v>39333</v>
          </cell>
          <cell r="C5772">
            <v>2191</v>
          </cell>
        </row>
        <row r="5773">
          <cell r="B5773">
            <v>39334</v>
          </cell>
          <cell r="C5773">
            <v>2191</v>
          </cell>
        </row>
        <row r="5774">
          <cell r="B5774">
            <v>39335</v>
          </cell>
          <cell r="C5774">
            <v>2191</v>
          </cell>
        </row>
        <row r="5775">
          <cell r="B5775">
            <v>39336</v>
          </cell>
          <cell r="C5775">
            <v>2194.65</v>
          </cell>
        </row>
        <row r="5776">
          <cell r="B5776">
            <v>39337</v>
          </cell>
          <cell r="C5776">
            <v>2185.89</v>
          </cell>
        </row>
        <row r="5777">
          <cell r="B5777">
            <v>39338</v>
          </cell>
          <cell r="C5777">
            <v>2182.2199999999998</v>
          </cell>
        </row>
        <row r="5778">
          <cell r="B5778">
            <v>39339</v>
          </cell>
          <cell r="C5778">
            <v>2157.75</v>
          </cell>
        </row>
        <row r="5779">
          <cell r="B5779">
            <v>39340</v>
          </cell>
          <cell r="C5779">
            <v>2128.5</v>
          </cell>
        </row>
        <row r="5780">
          <cell r="B5780">
            <v>39341</v>
          </cell>
          <cell r="C5780">
            <v>2128.5</v>
          </cell>
        </row>
        <row r="5781">
          <cell r="B5781">
            <v>39342</v>
          </cell>
          <cell r="C5781">
            <v>2128.5</v>
          </cell>
        </row>
        <row r="5782">
          <cell r="B5782">
            <v>39343</v>
          </cell>
          <cell r="C5782">
            <v>2130.66</v>
          </cell>
        </row>
        <row r="5783">
          <cell r="B5783">
            <v>39344</v>
          </cell>
          <cell r="C5783">
            <v>2124.36</v>
          </cell>
        </row>
        <row r="5784">
          <cell r="B5784">
            <v>39345</v>
          </cell>
          <cell r="C5784">
            <v>2055.2800000000002</v>
          </cell>
        </row>
        <row r="5785">
          <cell r="B5785">
            <v>39346</v>
          </cell>
          <cell r="C5785">
            <v>2042.63</v>
          </cell>
        </row>
        <row r="5786">
          <cell r="B5786">
            <v>39347</v>
          </cell>
          <cell r="C5786">
            <v>2026.33</v>
          </cell>
        </row>
        <row r="5787">
          <cell r="B5787">
            <v>39348</v>
          </cell>
          <cell r="C5787">
            <v>2026.33</v>
          </cell>
        </row>
        <row r="5788">
          <cell r="B5788">
            <v>39349</v>
          </cell>
          <cell r="C5788">
            <v>2026.33</v>
          </cell>
        </row>
        <row r="5789">
          <cell r="B5789">
            <v>39350</v>
          </cell>
          <cell r="C5789">
            <v>2028.95</v>
          </cell>
        </row>
        <row r="5790">
          <cell r="B5790">
            <v>39351</v>
          </cell>
          <cell r="C5790">
            <v>2045.51</v>
          </cell>
        </row>
        <row r="5791">
          <cell r="B5791">
            <v>39352</v>
          </cell>
          <cell r="C5791">
            <v>2009.46</v>
          </cell>
        </row>
        <row r="5792">
          <cell r="B5792">
            <v>39353</v>
          </cell>
          <cell r="C5792">
            <v>2013.18</v>
          </cell>
        </row>
        <row r="5793">
          <cell r="B5793">
            <v>39354</v>
          </cell>
          <cell r="C5793">
            <v>2023.19</v>
          </cell>
        </row>
        <row r="5794">
          <cell r="B5794">
            <v>39355</v>
          </cell>
          <cell r="C5794">
            <v>2023.19</v>
          </cell>
        </row>
        <row r="5795">
          <cell r="B5795">
            <v>39356</v>
          </cell>
          <cell r="C5795">
            <v>2023.19</v>
          </cell>
        </row>
        <row r="5796">
          <cell r="B5796">
            <v>39357</v>
          </cell>
          <cell r="C5796">
            <v>2015.75</v>
          </cell>
        </row>
        <row r="5797">
          <cell r="B5797">
            <v>39358</v>
          </cell>
          <cell r="C5797">
            <v>2013.39</v>
          </cell>
        </row>
        <row r="5798">
          <cell r="B5798">
            <v>39359</v>
          </cell>
          <cell r="C5798">
            <v>2017.69</v>
          </cell>
        </row>
        <row r="5799">
          <cell r="B5799">
            <v>39360</v>
          </cell>
          <cell r="C5799">
            <v>2018.45</v>
          </cell>
        </row>
        <row r="5800">
          <cell r="B5800">
            <v>39361</v>
          </cell>
          <cell r="C5800">
            <v>1999.95</v>
          </cell>
        </row>
        <row r="5801">
          <cell r="B5801">
            <v>39362</v>
          </cell>
          <cell r="C5801">
            <v>1999.95</v>
          </cell>
        </row>
        <row r="5802">
          <cell r="B5802">
            <v>39363</v>
          </cell>
          <cell r="C5802">
            <v>1999.95</v>
          </cell>
        </row>
        <row r="5803">
          <cell r="B5803">
            <v>39364</v>
          </cell>
          <cell r="C5803">
            <v>1999.95</v>
          </cell>
        </row>
        <row r="5804">
          <cell r="B5804">
            <v>39365</v>
          </cell>
          <cell r="C5804">
            <v>1968.13</v>
          </cell>
        </row>
        <row r="5805">
          <cell r="B5805">
            <v>39366</v>
          </cell>
          <cell r="C5805">
            <v>1972.81</v>
          </cell>
        </row>
        <row r="5806">
          <cell r="B5806">
            <v>39367</v>
          </cell>
          <cell r="C5806">
            <v>1963.03</v>
          </cell>
        </row>
        <row r="5807">
          <cell r="B5807">
            <v>39368</v>
          </cell>
          <cell r="C5807">
            <v>1978.97</v>
          </cell>
        </row>
        <row r="5808">
          <cell r="B5808">
            <v>39369</v>
          </cell>
          <cell r="C5808">
            <v>1978.97</v>
          </cell>
        </row>
        <row r="5809">
          <cell r="B5809">
            <v>39370</v>
          </cell>
          <cell r="C5809">
            <v>1978.97</v>
          </cell>
        </row>
        <row r="5810">
          <cell r="B5810">
            <v>39371</v>
          </cell>
          <cell r="C5810">
            <v>1978.97</v>
          </cell>
        </row>
        <row r="5811">
          <cell r="B5811">
            <v>39372</v>
          </cell>
          <cell r="C5811">
            <v>2004.58</v>
          </cell>
        </row>
        <row r="5812">
          <cell r="B5812">
            <v>39373</v>
          </cell>
          <cell r="C5812">
            <v>1994.06</v>
          </cell>
        </row>
        <row r="5813">
          <cell r="B5813">
            <v>39374</v>
          </cell>
          <cell r="C5813">
            <v>2018.55</v>
          </cell>
        </row>
        <row r="5814">
          <cell r="B5814">
            <v>39375</v>
          </cell>
          <cell r="C5814">
            <v>2007.24</v>
          </cell>
        </row>
        <row r="5815">
          <cell r="B5815">
            <v>39376</v>
          </cell>
          <cell r="C5815">
            <v>2007.24</v>
          </cell>
        </row>
        <row r="5816">
          <cell r="B5816">
            <v>39377</v>
          </cell>
          <cell r="C5816">
            <v>2007.24</v>
          </cell>
        </row>
        <row r="5817">
          <cell r="B5817">
            <v>39378</v>
          </cell>
          <cell r="C5817">
            <v>2022.76</v>
          </cell>
        </row>
        <row r="5818">
          <cell r="B5818">
            <v>39379</v>
          </cell>
          <cell r="C5818">
            <v>2006.67</v>
          </cell>
        </row>
        <row r="5819">
          <cell r="B5819">
            <v>39380</v>
          </cell>
          <cell r="C5819">
            <v>2025.7</v>
          </cell>
        </row>
        <row r="5820">
          <cell r="B5820">
            <v>39381</v>
          </cell>
          <cell r="C5820">
            <v>2020.29</v>
          </cell>
        </row>
        <row r="5821">
          <cell r="B5821">
            <v>39382</v>
          </cell>
          <cell r="C5821">
            <v>2005.28</v>
          </cell>
        </row>
        <row r="5822">
          <cell r="B5822">
            <v>39383</v>
          </cell>
          <cell r="C5822">
            <v>2005.28</v>
          </cell>
        </row>
        <row r="5823">
          <cell r="B5823">
            <v>39384</v>
          </cell>
          <cell r="C5823">
            <v>2005.28</v>
          </cell>
        </row>
        <row r="5824">
          <cell r="B5824">
            <v>39385</v>
          </cell>
          <cell r="C5824">
            <v>1995.94</v>
          </cell>
        </row>
        <row r="5825">
          <cell r="B5825">
            <v>39386</v>
          </cell>
          <cell r="C5825">
            <v>1999.44</v>
          </cell>
        </row>
        <row r="5826">
          <cell r="B5826">
            <v>39387</v>
          </cell>
          <cell r="C5826">
            <v>1987.69</v>
          </cell>
        </row>
        <row r="5827">
          <cell r="B5827">
            <v>39388</v>
          </cell>
          <cell r="C5827">
            <v>2008.11</v>
          </cell>
        </row>
        <row r="5828">
          <cell r="B5828">
            <v>39389</v>
          </cell>
          <cell r="C5828">
            <v>2014.12</v>
          </cell>
        </row>
        <row r="5829">
          <cell r="B5829">
            <v>39390</v>
          </cell>
          <cell r="C5829">
            <v>2014.12</v>
          </cell>
        </row>
        <row r="5830">
          <cell r="B5830">
            <v>39391</v>
          </cell>
          <cell r="C5830">
            <v>2014.12</v>
          </cell>
        </row>
        <row r="5831">
          <cell r="B5831">
            <v>39392</v>
          </cell>
          <cell r="C5831">
            <v>2014.12</v>
          </cell>
        </row>
        <row r="5832">
          <cell r="B5832">
            <v>39393</v>
          </cell>
          <cell r="C5832">
            <v>2012.89</v>
          </cell>
        </row>
        <row r="5833">
          <cell r="B5833">
            <v>39394</v>
          </cell>
          <cell r="C5833">
            <v>2023.99</v>
          </cell>
        </row>
        <row r="5834">
          <cell r="B5834">
            <v>39395</v>
          </cell>
          <cell r="C5834">
            <v>2033.94</v>
          </cell>
        </row>
        <row r="5835">
          <cell r="B5835">
            <v>39396</v>
          </cell>
          <cell r="C5835">
            <v>2045.59</v>
          </cell>
        </row>
        <row r="5836">
          <cell r="B5836">
            <v>39397</v>
          </cell>
          <cell r="C5836">
            <v>2045.59</v>
          </cell>
        </row>
        <row r="5837">
          <cell r="B5837">
            <v>39398</v>
          </cell>
          <cell r="C5837">
            <v>2045.59</v>
          </cell>
        </row>
        <row r="5838">
          <cell r="B5838">
            <v>39399</v>
          </cell>
          <cell r="C5838">
            <v>2045.59</v>
          </cell>
        </row>
        <row r="5839">
          <cell r="B5839">
            <v>39400</v>
          </cell>
          <cell r="C5839">
            <v>2051.88</v>
          </cell>
        </row>
        <row r="5840">
          <cell r="B5840">
            <v>39401</v>
          </cell>
          <cell r="C5840">
            <v>2032.04</v>
          </cell>
        </row>
        <row r="5841">
          <cell r="B5841">
            <v>39402</v>
          </cell>
          <cell r="C5841">
            <v>2044.7</v>
          </cell>
        </row>
        <row r="5842">
          <cell r="B5842">
            <v>39403</v>
          </cell>
          <cell r="C5842">
            <v>2040.35</v>
          </cell>
        </row>
        <row r="5843">
          <cell r="B5843">
            <v>39404</v>
          </cell>
          <cell r="C5843">
            <v>2040.35</v>
          </cell>
        </row>
        <row r="5844">
          <cell r="B5844">
            <v>39405</v>
          </cell>
          <cell r="C5844">
            <v>2040.35</v>
          </cell>
        </row>
        <row r="5845">
          <cell r="B5845">
            <v>39406</v>
          </cell>
          <cell r="C5845">
            <v>2054.3000000000002</v>
          </cell>
        </row>
        <row r="5846">
          <cell r="B5846">
            <v>39407</v>
          </cell>
          <cell r="C5846">
            <v>2056.2800000000002</v>
          </cell>
        </row>
        <row r="5847">
          <cell r="B5847">
            <v>39408</v>
          </cell>
          <cell r="C5847">
            <v>2074.6</v>
          </cell>
        </row>
        <row r="5848">
          <cell r="B5848">
            <v>39409</v>
          </cell>
          <cell r="C5848">
            <v>2074.6</v>
          </cell>
        </row>
        <row r="5849">
          <cell r="B5849">
            <v>39410</v>
          </cell>
          <cell r="C5849">
            <v>2088.2399999999998</v>
          </cell>
        </row>
        <row r="5850">
          <cell r="B5850">
            <v>39411</v>
          </cell>
          <cell r="C5850">
            <v>2088.2399999999998</v>
          </cell>
        </row>
        <row r="5851">
          <cell r="B5851">
            <v>39412</v>
          </cell>
          <cell r="C5851">
            <v>2088.2399999999998</v>
          </cell>
        </row>
        <row r="5852">
          <cell r="B5852">
            <v>39413</v>
          </cell>
          <cell r="C5852">
            <v>2089.11</v>
          </cell>
        </row>
        <row r="5853">
          <cell r="B5853">
            <v>39414</v>
          </cell>
          <cell r="C5853">
            <v>2094.7399999999998</v>
          </cell>
        </row>
        <row r="5854">
          <cell r="B5854">
            <v>39415</v>
          </cell>
          <cell r="C5854">
            <v>2066.81</v>
          </cell>
        </row>
        <row r="5855">
          <cell r="B5855">
            <v>39416</v>
          </cell>
          <cell r="C5855">
            <v>2060.42</v>
          </cell>
        </row>
        <row r="5856">
          <cell r="B5856">
            <v>39417</v>
          </cell>
          <cell r="C5856">
            <v>2043.11</v>
          </cell>
        </row>
        <row r="5857">
          <cell r="B5857">
            <v>39418</v>
          </cell>
          <cell r="C5857">
            <v>2043.11</v>
          </cell>
        </row>
        <row r="5858">
          <cell r="B5858">
            <v>39419</v>
          </cell>
          <cell r="C5858">
            <v>2043.11</v>
          </cell>
        </row>
        <row r="5859">
          <cell r="B5859">
            <v>39420</v>
          </cell>
          <cell r="C5859">
            <v>2052.1799999999998</v>
          </cell>
        </row>
        <row r="5860">
          <cell r="B5860">
            <v>39421</v>
          </cell>
          <cell r="C5860">
            <v>2057.4</v>
          </cell>
        </row>
        <row r="5861">
          <cell r="B5861">
            <v>39422</v>
          </cell>
          <cell r="C5861">
            <v>2036.6</v>
          </cell>
        </row>
        <row r="5862">
          <cell r="B5862">
            <v>39423</v>
          </cell>
          <cell r="C5862">
            <v>2023.18</v>
          </cell>
        </row>
        <row r="5863">
          <cell r="B5863">
            <v>39424</v>
          </cell>
          <cell r="C5863">
            <v>2016.77</v>
          </cell>
        </row>
        <row r="5864">
          <cell r="B5864">
            <v>39425</v>
          </cell>
          <cell r="C5864">
            <v>2016.77</v>
          </cell>
        </row>
        <row r="5865">
          <cell r="B5865">
            <v>39426</v>
          </cell>
          <cell r="C5865">
            <v>2016.77</v>
          </cell>
        </row>
        <row r="5866">
          <cell r="B5866">
            <v>39427</v>
          </cell>
          <cell r="C5866">
            <v>2009.83</v>
          </cell>
        </row>
        <row r="5867">
          <cell r="B5867">
            <v>39428</v>
          </cell>
          <cell r="C5867">
            <v>2005.82</v>
          </cell>
        </row>
        <row r="5868">
          <cell r="B5868">
            <v>39429</v>
          </cell>
          <cell r="C5868">
            <v>2003.9</v>
          </cell>
        </row>
        <row r="5869">
          <cell r="B5869">
            <v>39430</v>
          </cell>
          <cell r="C5869">
            <v>2017.36</v>
          </cell>
        </row>
        <row r="5870">
          <cell r="B5870">
            <v>39431</v>
          </cell>
          <cell r="C5870">
            <v>2009.85</v>
          </cell>
        </row>
        <row r="5871">
          <cell r="B5871">
            <v>39432</v>
          </cell>
          <cell r="C5871">
            <v>2009.85</v>
          </cell>
        </row>
        <row r="5872">
          <cell r="B5872">
            <v>39433</v>
          </cell>
          <cell r="C5872">
            <v>2009.85</v>
          </cell>
        </row>
        <row r="5873">
          <cell r="B5873">
            <v>39434</v>
          </cell>
          <cell r="C5873">
            <v>2006.48</v>
          </cell>
        </row>
        <row r="5874">
          <cell r="B5874">
            <v>39435</v>
          </cell>
          <cell r="C5874">
            <v>2007.98</v>
          </cell>
        </row>
        <row r="5875">
          <cell r="B5875">
            <v>39436</v>
          </cell>
          <cell r="C5875">
            <v>2005.92</v>
          </cell>
        </row>
        <row r="5876">
          <cell r="B5876">
            <v>39437</v>
          </cell>
          <cell r="C5876">
            <v>2000.58</v>
          </cell>
        </row>
        <row r="5877">
          <cell r="B5877">
            <v>39438</v>
          </cell>
          <cell r="C5877">
            <v>1993.08</v>
          </cell>
        </row>
        <row r="5878">
          <cell r="B5878">
            <v>39439</v>
          </cell>
          <cell r="C5878">
            <v>1993.08</v>
          </cell>
        </row>
        <row r="5879">
          <cell r="B5879">
            <v>39440</v>
          </cell>
          <cell r="C5879">
            <v>1993.08</v>
          </cell>
        </row>
        <row r="5880">
          <cell r="B5880">
            <v>39441</v>
          </cell>
          <cell r="C5880">
            <v>1989.7</v>
          </cell>
        </row>
        <row r="5881">
          <cell r="B5881">
            <v>39442</v>
          </cell>
          <cell r="C5881">
            <v>1989.7</v>
          </cell>
        </row>
        <row r="5882">
          <cell r="B5882">
            <v>39443</v>
          </cell>
          <cell r="C5882">
            <v>1987.81</v>
          </cell>
        </row>
        <row r="5883">
          <cell r="B5883">
            <v>39444</v>
          </cell>
          <cell r="C5883">
            <v>2001.72</v>
          </cell>
        </row>
        <row r="5884">
          <cell r="B5884">
            <v>39445</v>
          </cell>
          <cell r="C5884">
            <v>2014.76</v>
          </cell>
        </row>
        <row r="5885">
          <cell r="B5885">
            <v>39446</v>
          </cell>
          <cell r="C5885">
            <v>2014.76</v>
          </cell>
        </row>
        <row r="5886">
          <cell r="B5886">
            <v>39447</v>
          </cell>
          <cell r="C5886">
            <v>2014.76</v>
          </cell>
        </row>
        <row r="5887">
          <cell r="B5887">
            <v>39448</v>
          </cell>
          <cell r="C5887">
            <v>2014.76</v>
          </cell>
        </row>
        <row r="5888">
          <cell r="B5888">
            <v>39449</v>
          </cell>
          <cell r="C5888">
            <v>2014.76</v>
          </cell>
        </row>
        <row r="5889">
          <cell r="B5889">
            <v>39450</v>
          </cell>
          <cell r="C5889">
            <v>2012.82</v>
          </cell>
        </row>
        <row r="5890">
          <cell r="B5890">
            <v>39451</v>
          </cell>
          <cell r="C5890">
            <v>2013.27</v>
          </cell>
        </row>
        <row r="5891">
          <cell r="B5891">
            <v>39452</v>
          </cell>
          <cell r="C5891">
            <v>2013.98</v>
          </cell>
        </row>
        <row r="5892">
          <cell r="B5892">
            <v>39453</v>
          </cell>
          <cell r="C5892">
            <v>2013.98</v>
          </cell>
        </row>
        <row r="5893">
          <cell r="B5893">
            <v>39454</v>
          </cell>
          <cell r="C5893">
            <v>2013.98</v>
          </cell>
        </row>
        <row r="5894">
          <cell r="B5894">
            <v>39455</v>
          </cell>
          <cell r="C5894">
            <v>2013.98</v>
          </cell>
        </row>
        <row r="5895">
          <cell r="B5895">
            <v>39456</v>
          </cell>
          <cell r="C5895">
            <v>2000.91</v>
          </cell>
        </row>
        <row r="5896">
          <cell r="B5896">
            <v>39457</v>
          </cell>
          <cell r="C5896">
            <v>2004.7</v>
          </cell>
        </row>
        <row r="5897">
          <cell r="B5897">
            <v>39458</v>
          </cell>
          <cell r="C5897">
            <v>2003.74</v>
          </cell>
        </row>
        <row r="5898">
          <cell r="B5898">
            <v>39459</v>
          </cell>
          <cell r="C5898">
            <v>1985.35</v>
          </cell>
        </row>
        <row r="5899">
          <cell r="B5899">
            <v>39460</v>
          </cell>
          <cell r="C5899">
            <v>1985.35</v>
          </cell>
        </row>
        <row r="5900">
          <cell r="B5900">
            <v>39461</v>
          </cell>
          <cell r="C5900">
            <v>1985.35</v>
          </cell>
        </row>
        <row r="5901">
          <cell r="B5901">
            <v>39462</v>
          </cell>
          <cell r="C5901">
            <v>1949.43</v>
          </cell>
        </row>
        <row r="5902">
          <cell r="B5902">
            <v>39463</v>
          </cell>
          <cell r="C5902">
            <v>1948.91</v>
          </cell>
        </row>
        <row r="5903">
          <cell r="B5903">
            <v>39464</v>
          </cell>
          <cell r="C5903">
            <v>1960.49</v>
          </cell>
        </row>
        <row r="5904">
          <cell r="B5904">
            <v>39465</v>
          </cell>
          <cell r="C5904">
            <v>1947.6</v>
          </cell>
        </row>
        <row r="5905">
          <cell r="B5905">
            <v>39466</v>
          </cell>
          <cell r="C5905">
            <v>1968.13</v>
          </cell>
        </row>
        <row r="5906">
          <cell r="B5906">
            <v>39467</v>
          </cell>
          <cell r="C5906">
            <v>1968.13</v>
          </cell>
        </row>
        <row r="5907">
          <cell r="B5907">
            <v>39468</v>
          </cell>
          <cell r="C5907">
            <v>1968.13</v>
          </cell>
        </row>
        <row r="5908">
          <cell r="B5908">
            <v>39469</v>
          </cell>
          <cell r="C5908">
            <v>1968.13</v>
          </cell>
        </row>
        <row r="5909">
          <cell r="B5909">
            <v>39470</v>
          </cell>
          <cell r="C5909">
            <v>2007.41</v>
          </cell>
        </row>
        <row r="5910">
          <cell r="B5910">
            <v>39471</v>
          </cell>
          <cell r="C5910">
            <v>2005.08</v>
          </cell>
        </row>
        <row r="5911">
          <cell r="B5911">
            <v>39472</v>
          </cell>
          <cell r="C5911">
            <v>1970.65</v>
          </cell>
        </row>
        <row r="5912">
          <cell r="B5912">
            <v>39473</v>
          </cell>
          <cell r="C5912">
            <v>1961.3</v>
          </cell>
        </row>
        <row r="5913">
          <cell r="B5913">
            <v>39474</v>
          </cell>
          <cell r="C5913">
            <v>1961.3</v>
          </cell>
        </row>
        <row r="5914">
          <cell r="B5914">
            <v>39475</v>
          </cell>
          <cell r="C5914">
            <v>1961.3</v>
          </cell>
        </row>
        <row r="5915">
          <cell r="B5915">
            <v>39476</v>
          </cell>
          <cell r="C5915">
            <v>1969.65</v>
          </cell>
        </row>
        <row r="5916">
          <cell r="B5916">
            <v>39477</v>
          </cell>
          <cell r="C5916">
            <v>1946.54</v>
          </cell>
        </row>
        <row r="5917">
          <cell r="B5917">
            <v>39478</v>
          </cell>
          <cell r="C5917">
            <v>1939.6</v>
          </cell>
        </row>
        <row r="5918">
          <cell r="B5918">
            <v>39479</v>
          </cell>
          <cell r="C5918">
            <v>1939.77</v>
          </cell>
        </row>
        <row r="5919">
          <cell r="B5919">
            <v>39480</v>
          </cell>
          <cell r="C5919">
            <v>1921.94</v>
          </cell>
        </row>
        <row r="5920">
          <cell r="B5920">
            <v>39481</v>
          </cell>
          <cell r="C5920">
            <v>1921.94</v>
          </cell>
        </row>
        <row r="5921">
          <cell r="B5921">
            <v>39482</v>
          </cell>
          <cell r="C5921">
            <v>1921.94</v>
          </cell>
        </row>
        <row r="5922">
          <cell r="B5922">
            <v>39483</v>
          </cell>
          <cell r="C5922">
            <v>1917.26</v>
          </cell>
        </row>
        <row r="5923">
          <cell r="B5923">
            <v>39484</v>
          </cell>
          <cell r="C5923">
            <v>1928.3</v>
          </cell>
        </row>
        <row r="5924">
          <cell r="B5924">
            <v>39485</v>
          </cell>
          <cell r="C5924">
            <v>1929.7</v>
          </cell>
        </row>
        <row r="5925">
          <cell r="B5925">
            <v>39486</v>
          </cell>
          <cell r="C5925">
            <v>1935.49</v>
          </cell>
        </row>
        <row r="5926">
          <cell r="B5926">
            <v>39487</v>
          </cell>
          <cell r="C5926">
            <v>1923.08</v>
          </cell>
        </row>
        <row r="5927">
          <cell r="B5927">
            <v>39488</v>
          </cell>
          <cell r="C5927">
            <v>1923.08</v>
          </cell>
        </row>
        <row r="5928">
          <cell r="B5928">
            <v>39489</v>
          </cell>
          <cell r="C5928">
            <v>1923.08</v>
          </cell>
        </row>
        <row r="5929">
          <cell r="B5929">
            <v>39490</v>
          </cell>
          <cell r="C5929">
            <v>1912.8</v>
          </cell>
        </row>
        <row r="5930">
          <cell r="B5930">
            <v>39491</v>
          </cell>
          <cell r="C5930">
            <v>1901.38</v>
          </cell>
        </row>
        <row r="5931">
          <cell r="B5931">
            <v>39492</v>
          </cell>
          <cell r="C5931">
            <v>1898.4</v>
          </cell>
        </row>
        <row r="5932">
          <cell r="B5932">
            <v>39493</v>
          </cell>
          <cell r="C5932">
            <v>1894.87</v>
          </cell>
        </row>
        <row r="5933">
          <cell r="B5933">
            <v>39494</v>
          </cell>
          <cell r="C5933">
            <v>1905.37</v>
          </cell>
        </row>
        <row r="5934">
          <cell r="B5934">
            <v>39495</v>
          </cell>
          <cell r="C5934">
            <v>1905.37</v>
          </cell>
        </row>
        <row r="5935">
          <cell r="B5935">
            <v>39496</v>
          </cell>
          <cell r="C5935">
            <v>1905.37</v>
          </cell>
        </row>
        <row r="5936">
          <cell r="B5936">
            <v>39497</v>
          </cell>
          <cell r="C5936">
            <v>1905.37</v>
          </cell>
        </row>
        <row r="5937">
          <cell r="B5937">
            <v>39498</v>
          </cell>
          <cell r="C5937">
            <v>1890.74</v>
          </cell>
        </row>
        <row r="5938">
          <cell r="B5938">
            <v>39499</v>
          </cell>
          <cell r="C5938">
            <v>1910.81</v>
          </cell>
        </row>
        <row r="5939">
          <cell r="B5939">
            <v>39500</v>
          </cell>
          <cell r="C5939">
            <v>1895.85</v>
          </cell>
        </row>
        <row r="5940">
          <cell r="B5940">
            <v>39501</v>
          </cell>
          <cell r="C5940">
            <v>1892</v>
          </cell>
        </row>
        <row r="5941">
          <cell r="B5941">
            <v>39502</v>
          </cell>
          <cell r="C5941">
            <v>1892</v>
          </cell>
        </row>
        <row r="5942">
          <cell r="B5942">
            <v>39503</v>
          </cell>
          <cell r="C5942">
            <v>1892</v>
          </cell>
        </row>
        <row r="5943">
          <cell r="B5943">
            <v>39504</v>
          </cell>
          <cell r="C5943">
            <v>1887.97</v>
          </cell>
        </row>
        <row r="5944">
          <cell r="B5944">
            <v>39505</v>
          </cell>
          <cell r="C5944">
            <v>1879.19</v>
          </cell>
        </row>
        <row r="5945">
          <cell r="B5945">
            <v>39506</v>
          </cell>
          <cell r="C5945">
            <v>1854.87</v>
          </cell>
        </row>
        <row r="5946">
          <cell r="B5946">
            <v>39507</v>
          </cell>
          <cell r="C5946">
            <v>1843.59</v>
          </cell>
        </row>
        <row r="5947">
          <cell r="B5947">
            <v>39508</v>
          </cell>
          <cell r="C5947">
            <v>1845.17</v>
          </cell>
        </row>
        <row r="5948">
          <cell r="B5948">
            <v>39509</v>
          </cell>
          <cell r="C5948">
            <v>1845.17</v>
          </cell>
        </row>
        <row r="5949">
          <cell r="B5949">
            <v>39510</v>
          </cell>
          <cell r="C5949">
            <v>1845.17</v>
          </cell>
        </row>
        <row r="5950">
          <cell r="B5950">
            <v>39511</v>
          </cell>
          <cell r="C5950">
            <v>1849.46</v>
          </cell>
        </row>
        <row r="5951">
          <cell r="B5951">
            <v>39512</v>
          </cell>
          <cell r="C5951">
            <v>1841.61</v>
          </cell>
        </row>
        <row r="5952">
          <cell r="B5952">
            <v>39513</v>
          </cell>
          <cell r="C5952">
            <v>1856.69</v>
          </cell>
        </row>
        <row r="5953">
          <cell r="B5953">
            <v>39514</v>
          </cell>
          <cell r="C5953">
            <v>1880.12</v>
          </cell>
        </row>
        <row r="5954">
          <cell r="B5954">
            <v>39515</v>
          </cell>
          <cell r="C5954">
            <v>1902.17</v>
          </cell>
        </row>
        <row r="5955">
          <cell r="B5955">
            <v>39516</v>
          </cell>
          <cell r="C5955">
            <v>1902.17</v>
          </cell>
        </row>
        <row r="5956">
          <cell r="B5956">
            <v>39517</v>
          </cell>
          <cell r="C5956">
            <v>1902.17</v>
          </cell>
        </row>
        <row r="5957">
          <cell r="B5957">
            <v>39518</v>
          </cell>
          <cell r="C5957">
            <v>1864.78</v>
          </cell>
        </row>
        <row r="5958">
          <cell r="B5958">
            <v>39519</v>
          </cell>
          <cell r="C5958">
            <v>1865.98</v>
          </cell>
        </row>
        <row r="5959">
          <cell r="B5959">
            <v>39520</v>
          </cell>
          <cell r="C5959">
            <v>1853.41</v>
          </cell>
        </row>
        <row r="5960">
          <cell r="B5960">
            <v>39521</v>
          </cell>
          <cell r="C5960">
            <v>1856.01</v>
          </cell>
        </row>
        <row r="5961">
          <cell r="B5961">
            <v>39522</v>
          </cell>
          <cell r="C5961">
            <v>1843.95</v>
          </cell>
        </row>
        <row r="5962">
          <cell r="B5962">
            <v>39523</v>
          </cell>
          <cell r="C5962">
            <v>1843.95</v>
          </cell>
        </row>
        <row r="5963">
          <cell r="B5963">
            <v>39524</v>
          </cell>
          <cell r="C5963">
            <v>1843.95</v>
          </cell>
        </row>
        <row r="5964">
          <cell r="B5964">
            <v>39525</v>
          </cell>
          <cell r="C5964">
            <v>1857.55</v>
          </cell>
        </row>
        <row r="5965">
          <cell r="B5965">
            <v>39526</v>
          </cell>
          <cell r="C5965">
            <v>1823.11</v>
          </cell>
        </row>
        <row r="5966">
          <cell r="B5966">
            <v>39527</v>
          </cell>
          <cell r="C5966">
            <v>1815.65</v>
          </cell>
        </row>
        <row r="5967">
          <cell r="B5967">
            <v>39528</v>
          </cell>
          <cell r="C5967">
            <v>1815.65</v>
          </cell>
        </row>
        <row r="5968">
          <cell r="B5968">
            <v>39529</v>
          </cell>
          <cell r="C5968">
            <v>1815.65</v>
          </cell>
        </row>
        <row r="5969">
          <cell r="B5969">
            <v>39530</v>
          </cell>
          <cell r="C5969">
            <v>1815.65</v>
          </cell>
        </row>
        <row r="5970">
          <cell r="B5970">
            <v>39531</v>
          </cell>
          <cell r="C5970">
            <v>1815.65</v>
          </cell>
        </row>
        <row r="5971">
          <cell r="B5971">
            <v>39532</v>
          </cell>
          <cell r="C5971">
            <v>1815.65</v>
          </cell>
        </row>
        <row r="5972">
          <cell r="B5972">
            <v>39533</v>
          </cell>
          <cell r="C5972">
            <v>1835.01</v>
          </cell>
        </row>
        <row r="5973">
          <cell r="B5973">
            <v>39534</v>
          </cell>
          <cell r="C5973">
            <v>1821.31</v>
          </cell>
        </row>
        <row r="5974">
          <cell r="B5974">
            <v>39535</v>
          </cell>
          <cell r="C5974">
            <v>1810.68</v>
          </cell>
        </row>
        <row r="5975">
          <cell r="B5975">
            <v>39536</v>
          </cell>
          <cell r="C5975">
            <v>1821.6</v>
          </cell>
        </row>
        <row r="5976">
          <cell r="B5976">
            <v>39537</v>
          </cell>
          <cell r="C5976">
            <v>1821.6</v>
          </cell>
        </row>
        <row r="5977">
          <cell r="B5977">
            <v>39538</v>
          </cell>
          <cell r="C5977">
            <v>1821.6</v>
          </cell>
        </row>
        <row r="5978">
          <cell r="B5978">
            <v>39539</v>
          </cell>
          <cell r="C5978">
            <v>1834.96</v>
          </cell>
        </row>
        <row r="5979">
          <cell r="B5979">
            <v>39540</v>
          </cell>
          <cell r="C5979">
            <v>1827.94</v>
          </cell>
        </row>
        <row r="5980">
          <cell r="B5980">
            <v>39541</v>
          </cell>
          <cell r="C5980">
            <v>1826.34</v>
          </cell>
        </row>
        <row r="5981">
          <cell r="B5981">
            <v>39542</v>
          </cell>
          <cell r="C5981">
            <v>1824.39</v>
          </cell>
        </row>
        <row r="5982">
          <cell r="B5982">
            <v>39543</v>
          </cell>
          <cell r="C5982">
            <v>1816.28</v>
          </cell>
        </row>
        <row r="5983">
          <cell r="B5983">
            <v>39544</v>
          </cell>
          <cell r="C5983">
            <v>1816.28</v>
          </cell>
        </row>
        <row r="5984">
          <cell r="B5984">
            <v>39545</v>
          </cell>
          <cell r="C5984">
            <v>1816.28</v>
          </cell>
        </row>
        <row r="5985">
          <cell r="B5985">
            <v>39546</v>
          </cell>
          <cell r="C5985">
            <v>1811.23</v>
          </cell>
        </row>
        <row r="5986">
          <cell r="B5986">
            <v>39547</v>
          </cell>
          <cell r="C5986">
            <v>1812.85</v>
          </cell>
        </row>
        <row r="5987">
          <cell r="B5987">
            <v>39548</v>
          </cell>
          <cell r="C5987">
            <v>1799.07</v>
          </cell>
        </row>
        <row r="5988">
          <cell r="B5988">
            <v>39549</v>
          </cell>
          <cell r="C5988">
            <v>1791.63</v>
          </cell>
        </row>
        <row r="5989">
          <cell r="B5989">
            <v>39550</v>
          </cell>
          <cell r="C5989">
            <v>1792.49</v>
          </cell>
        </row>
        <row r="5990">
          <cell r="B5990">
            <v>39551</v>
          </cell>
          <cell r="C5990">
            <v>1792.49</v>
          </cell>
        </row>
        <row r="5991">
          <cell r="B5991">
            <v>39552</v>
          </cell>
          <cell r="C5991">
            <v>1792.49</v>
          </cell>
        </row>
        <row r="5992">
          <cell r="B5992">
            <v>39553</v>
          </cell>
          <cell r="C5992">
            <v>1792.69</v>
          </cell>
        </row>
        <row r="5993">
          <cell r="B5993">
            <v>39554</v>
          </cell>
          <cell r="C5993">
            <v>1797.89</v>
          </cell>
        </row>
        <row r="5994">
          <cell r="B5994">
            <v>39555</v>
          </cell>
          <cell r="C5994">
            <v>1798.89</v>
          </cell>
        </row>
        <row r="5995">
          <cell r="B5995">
            <v>39556</v>
          </cell>
          <cell r="C5995">
            <v>1792.87</v>
          </cell>
        </row>
        <row r="5996">
          <cell r="B5996">
            <v>39557</v>
          </cell>
          <cell r="C5996">
            <v>1785.17</v>
          </cell>
        </row>
        <row r="5997">
          <cell r="B5997">
            <v>39558</v>
          </cell>
          <cell r="C5997">
            <v>1785.17</v>
          </cell>
        </row>
        <row r="5998">
          <cell r="B5998">
            <v>39559</v>
          </cell>
          <cell r="C5998">
            <v>1785.17</v>
          </cell>
        </row>
        <row r="5999">
          <cell r="B5999">
            <v>39560</v>
          </cell>
          <cell r="C5999">
            <v>1780.79</v>
          </cell>
        </row>
        <row r="6000">
          <cell r="B6000">
            <v>39561</v>
          </cell>
          <cell r="C6000">
            <v>1775.08</v>
          </cell>
        </row>
        <row r="6001">
          <cell r="B6001">
            <v>39562</v>
          </cell>
          <cell r="C6001">
            <v>1765.3</v>
          </cell>
        </row>
        <row r="6002">
          <cell r="B6002">
            <v>39563</v>
          </cell>
          <cell r="C6002">
            <v>1765.75</v>
          </cell>
        </row>
        <row r="6003">
          <cell r="B6003">
            <v>39564</v>
          </cell>
          <cell r="C6003">
            <v>1775.22</v>
          </cell>
        </row>
        <row r="6004">
          <cell r="B6004">
            <v>39565</v>
          </cell>
          <cell r="C6004">
            <v>1775.22</v>
          </cell>
        </row>
        <row r="6005">
          <cell r="B6005">
            <v>39566</v>
          </cell>
          <cell r="C6005">
            <v>1775.22</v>
          </cell>
        </row>
        <row r="6006">
          <cell r="B6006">
            <v>39567</v>
          </cell>
          <cell r="C6006">
            <v>1767.73</v>
          </cell>
        </row>
        <row r="6007">
          <cell r="B6007">
            <v>39568</v>
          </cell>
          <cell r="C6007">
            <v>1780.21</v>
          </cell>
        </row>
        <row r="6008">
          <cell r="B6008">
            <v>39569</v>
          </cell>
          <cell r="C6008">
            <v>1767.27</v>
          </cell>
        </row>
        <row r="6009">
          <cell r="B6009">
            <v>39570</v>
          </cell>
          <cell r="C6009">
            <v>1767.27</v>
          </cell>
        </row>
        <row r="6010">
          <cell r="B6010">
            <v>39571</v>
          </cell>
          <cell r="C6010">
            <v>1756.25</v>
          </cell>
        </row>
        <row r="6011">
          <cell r="B6011">
            <v>39572</v>
          </cell>
          <cell r="C6011">
            <v>1756.25</v>
          </cell>
        </row>
        <row r="6012">
          <cell r="B6012">
            <v>39573</v>
          </cell>
          <cell r="C6012">
            <v>1756.25</v>
          </cell>
        </row>
        <row r="6013">
          <cell r="B6013">
            <v>39574</v>
          </cell>
          <cell r="C6013">
            <v>1756.25</v>
          </cell>
        </row>
        <row r="6014">
          <cell r="B6014">
            <v>39575</v>
          </cell>
          <cell r="C6014">
            <v>1769.32</v>
          </cell>
        </row>
        <row r="6015">
          <cell r="B6015">
            <v>39576</v>
          </cell>
          <cell r="C6015">
            <v>1787.62</v>
          </cell>
        </row>
        <row r="6016">
          <cell r="B6016">
            <v>39577</v>
          </cell>
          <cell r="C6016">
            <v>1793.13</v>
          </cell>
        </row>
        <row r="6017">
          <cell r="B6017">
            <v>39578</v>
          </cell>
          <cell r="C6017">
            <v>1781.79</v>
          </cell>
        </row>
        <row r="6018">
          <cell r="B6018">
            <v>39579</v>
          </cell>
          <cell r="C6018">
            <v>1781.79</v>
          </cell>
        </row>
        <row r="6019">
          <cell r="B6019">
            <v>39580</v>
          </cell>
          <cell r="C6019">
            <v>1781.79</v>
          </cell>
        </row>
        <row r="6020">
          <cell r="B6020">
            <v>39581</v>
          </cell>
          <cell r="C6020">
            <v>1781.29</v>
          </cell>
        </row>
        <row r="6021">
          <cell r="B6021">
            <v>39582</v>
          </cell>
          <cell r="C6021">
            <v>1780.01</v>
          </cell>
        </row>
        <row r="6022">
          <cell r="B6022">
            <v>39583</v>
          </cell>
          <cell r="C6022">
            <v>1787.65</v>
          </cell>
        </row>
        <row r="6023">
          <cell r="B6023">
            <v>39584</v>
          </cell>
          <cell r="C6023">
            <v>1792.94</v>
          </cell>
        </row>
        <row r="6024">
          <cell r="B6024">
            <v>39585</v>
          </cell>
          <cell r="C6024">
            <v>1785.04</v>
          </cell>
        </row>
        <row r="6025">
          <cell r="B6025">
            <v>39586</v>
          </cell>
          <cell r="C6025">
            <v>1785.04</v>
          </cell>
        </row>
        <row r="6026">
          <cell r="B6026">
            <v>39587</v>
          </cell>
          <cell r="C6026">
            <v>1785.04</v>
          </cell>
        </row>
        <row r="6027">
          <cell r="B6027">
            <v>39588</v>
          </cell>
          <cell r="C6027">
            <v>1779.35</v>
          </cell>
        </row>
        <row r="6028">
          <cell r="B6028">
            <v>39589</v>
          </cell>
          <cell r="C6028">
            <v>1787.59</v>
          </cell>
        </row>
        <row r="6029">
          <cell r="B6029">
            <v>39590</v>
          </cell>
          <cell r="C6029">
            <v>1779.48</v>
          </cell>
        </row>
        <row r="6030">
          <cell r="B6030">
            <v>39591</v>
          </cell>
          <cell r="C6030">
            <v>1779.59</v>
          </cell>
        </row>
        <row r="6031">
          <cell r="B6031">
            <v>39592</v>
          </cell>
          <cell r="C6031">
            <v>1777.98</v>
          </cell>
        </row>
        <row r="6032">
          <cell r="B6032">
            <v>39593</v>
          </cell>
          <cell r="C6032">
            <v>1777.98</v>
          </cell>
        </row>
        <row r="6033">
          <cell r="B6033">
            <v>39594</v>
          </cell>
          <cell r="C6033">
            <v>1777.98</v>
          </cell>
        </row>
        <row r="6034">
          <cell r="B6034">
            <v>39595</v>
          </cell>
          <cell r="C6034">
            <v>1777.98</v>
          </cell>
        </row>
        <row r="6035">
          <cell r="B6035">
            <v>39596</v>
          </cell>
          <cell r="C6035">
            <v>1772.55</v>
          </cell>
        </row>
        <row r="6036">
          <cell r="B6036">
            <v>39597</v>
          </cell>
          <cell r="C6036">
            <v>1767.41</v>
          </cell>
        </row>
        <row r="6037">
          <cell r="B6037">
            <v>39598</v>
          </cell>
          <cell r="C6037">
            <v>1755.95</v>
          </cell>
        </row>
        <row r="6038">
          <cell r="B6038">
            <v>39599</v>
          </cell>
          <cell r="C6038">
            <v>1744.01</v>
          </cell>
        </row>
        <row r="6039">
          <cell r="B6039">
            <v>39600</v>
          </cell>
          <cell r="C6039">
            <v>1744.01</v>
          </cell>
        </row>
        <row r="6040">
          <cell r="B6040">
            <v>39601</v>
          </cell>
          <cell r="C6040">
            <v>1744.01</v>
          </cell>
        </row>
        <row r="6041">
          <cell r="B6041">
            <v>39602</v>
          </cell>
          <cell r="C6041">
            <v>1744.01</v>
          </cell>
        </row>
        <row r="6042">
          <cell r="B6042">
            <v>39603</v>
          </cell>
          <cell r="C6042">
            <v>1730.61</v>
          </cell>
        </row>
        <row r="6043">
          <cell r="B6043">
            <v>39604</v>
          </cell>
          <cell r="C6043">
            <v>1728.76</v>
          </cell>
        </row>
        <row r="6044">
          <cell r="B6044">
            <v>39605</v>
          </cell>
          <cell r="C6044">
            <v>1709.95</v>
          </cell>
        </row>
        <row r="6045">
          <cell r="B6045">
            <v>39606</v>
          </cell>
          <cell r="C6045">
            <v>1702.44</v>
          </cell>
        </row>
        <row r="6046">
          <cell r="B6046">
            <v>39607</v>
          </cell>
          <cell r="C6046">
            <v>1702.44</v>
          </cell>
        </row>
        <row r="6047">
          <cell r="B6047">
            <v>39608</v>
          </cell>
          <cell r="C6047">
            <v>1702.44</v>
          </cell>
        </row>
        <row r="6048">
          <cell r="B6048">
            <v>39609</v>
          </cell>
          <cell r="C6048">
            <v>1687.13</v>
          </cell>
        </row>
        <row r="6049">
          <cell r="B6049">
            <v>39610</v>
          </cell>
          <cell r="C6049">
            <v>1696.79</v>
          </cell>
        </row>
        <row r="6050">
          <cell r="B6050">
            <v>39611</v>
          </cell>
          <cell r="C6050">
            <v>1700.94</v>
          </cell>
        </row>
        <row r="6051">
          <cell r="B6051">
            <v>39612</v>
          </cell>
          <cell r="C6051">
            <v>1705.35</v>
          </cell>
        </row>
        <row r="6052">
          <cell r="B6052">
            <v>39613</v>
          </cell>
          <cell r="C6052">
            <v>1707.87</v>
          </cell>
        </row>
        <row r="6053">
          <cell r="B6053">
            <v>39614</v>
          </cell>
          <cell r="C6053">
            <v>1707.87</v>
          </cell>
        </row>
        <row r="6054">
          <cell r="B6054">
            <v>39615</v>
          </cell>
          <cell r="C6054">
            <v>1707.87</v>
          </cell>
        </row>
        <row r="6055">
          <cell r="B6055">
            <v>39616</v>
          </cell>
          <cell r="C6055">
            <v>1684.52</v>
          </cell>
        </row>
        <row r="6056">
          <cell r="B6056">
            <v>39617</v>
          </cell>
          <cell r="C6056">
            <v>1655.42</v>
          </cell>
        </row>
        <row r="6057">
          <cell r="B6057">
            <v>39618</v>
          </cell>
          <cell r="C6057">
            <v>1652.41</v>
          </cell>
        </row>
        <row r="6058">
          <cell r="B6058">
            <v>39619</v>
          </cell>
          <cell r="C6058">
            <v>1670.31</v>
          </cell>
        </row>
        <row r="6059">
          <cell r="B6059">
            <v>39620</v>
          </cell>
          <cell r="C6059">
            <v>1678.82</v>
          </cell>
        </row>
        <row r="6060">
          <cell r="B6060">
            <v>39621</v>
          </cell>
          <cell r="C6060">
            <v>1678.82</v>
          </cell>
        </row>
        <row r="6061">
          <cell r="B6061">
            <v>39622</v>
          </cell>
          <cell r="C6061">
            <v>1678.82</v>
          </cell>
        </row>
        <row r="6062">
          <cell r="B6062">
            <v>39623</v>
          </cell>
          <cell r="C6062">
            <v>1713.63</v>
          </cell>
        </row>
        <row r="6063">
          <cell r="B6063">
            <v>39624</v>
          </cell>
          <cell r="C6063">
            <v>1748.04</v>
          </cell>
        </row>
        <row r="6064">
          <cell r="B6064">
            <v>39625</v>
          </cell>
          <cell r="C6064">
            <v>1783.44</v>
          </cell>
        </row>
        <row r="6065">
          <cell r="B6065">
            <v>39626</v>
          </cell>
          <cell r="C6065">
            <v>1832.81</v>
          </cell>
        </row>
        <row r="6066">
          <cell r="B6066">
            <v>39627</v>
          </cell>
          <cell r="C6066">
            <v>1923.02</v>
          </cell>
        </row>
        <row r="6067">
          <cell r="B6067">
            <v>39628</v>
          </cell>
          <cell r="C6067">
            <v>1923.02</v>
          </cell>
        </row>
        <row r="6068">
          <cell r="B6068">
            <v>39629</v>
          </cell>
          <cell r="C6068">
            <v>1923.02</v>
          </cell>
        </row>
        <row r="6069">
          <cell r="B6069">
            <v>39630</v>
          </cell>
          <cell r="C6069">
            <v>1923.02</v>
          </cell>
        </row>
        <row r="6070">
          <cell r="B6070">
            <v>39631</v>
          </cell>
          <cell r="C6070">
            <v>1915.44</v>
          </cell>
        </row>
        <row r="6071">
          <cell r="B6071">
            <v>39632</v>
          </cell>
          <cell r="C6071">
            <v>1818.6</v>
          </cell>
        </row>
        <row r="6072">
          <cell r="B6072">
            <v>39633</v>
          </cell>
          <cell r="C6072">
            <v>1748.43</v>
          </cell>
        </row>
        <row r="6073">
          <cell r="B6073">
            <v>39634</v>
          </cell>
          <cell r="C6073">
            <v>1748.43</v>
          </cell>
        </row>
        <row r="6074">
          <cell r="B6074">
            <v>39635</v>
          </cell>
          <cell r="C6074">
            <v>1748.43</v>
          </cell>
        </row>
        <row r="6075">
          <cell r="B6075">
            <v>39636</v>
          </cell>
          <cell r="C6075">
            <v>1748.43</v>
          </cell>
        </row>
        <row r="6076">
          <cell r="B6076">
            <v>39637</v>
          </cell>
          <cell r="C6076">
            <v>1719.48</v>
          </cell>
        </row>
        <row r="6077">
          <cell r="B6077">
            <v>39638</v>
          </cell>
          <cell r="C6077">
            <v>1736.49</v>
          </cell>
        </row>
        <row r="6078">
          <cell r="B6078">
            <v>39639</v>
          </cell>
          <cell r="C6078">
            <v>1728.74</v>
          </cell>
        </row>
        <row r="6079">
          <cell r="B6079">
            <v>39640</v>
          </cell>
          <cell r="C6079">
            <v>1768.09</v>
          </cell>
        </row>
        <row r="6080">
          <cell r="B6080">
            <v>39641</v>
          </cell>
          <cell r="C6080">
            <v>1778.8</v>
          </cell>
        </row>
        <row r="6081">
          <cell r="B6081">
            <v>39642</v>
          </cell>
          <cell r="C6081">
            <v>1778.8</v>
          </cell>
        </row>
        <row r="6082">
          <cell r="B6082">
            <v>39643</v>
          </cell>
          <cell r="C6082">
            <v>1778.8</v>
          </cell>
        </row>
        <row r="6083">
          <cell r="B6083">
            <v>39644</v>
          </cell>
          <cell r="C6083">
            <v>1753.51</v>
          </cell>
        </row>
        <row r="6084">
          <cell r="B6084">
            <v>39645</v>
          </cell>
          <cell r="C6084">
            <v>1777.17</v>
          </cell>
        </row>
        <row r="6085">
          <cell r="B6085">
            <v>39646</v>
          </cell>
          <cell r="C6085">
            <v>1768.53</v>
          </cell>
        </row>
        <row r="6086">
          <cell r="B6086">
            <v>39647</v>
          </cell>
          <cell r="C6086">
            <v>1757.79</v>
          </cell>
        </row>
        <row r="6087">
          <cell r="B6087">
            <v>39648</v>
          </cell>
          <cell r="C6087">
            <v>1788.24</v>
          </cell>
        </row>
        <row r="6088">
          <cell r="B6088">
            <v>39649</v>
          </cell>
          <cell r="C6088">
            <v>1788.24</v>
          </cell>
        </row>
        <row r="6089">
          <cell r="B6089">
            <v>39650</v>
          </cell>
          <cell r="C6089">
            <v>1788.24</v>
          </cell>
        </row>
        <row r="6090">
          <cell r="B6090">
            <v>39651</v>
          </cell>
          <cell r="C6090">
            <v>1802.01</v>
          </cell>
        </row>
        <row r="6091">
          <cell r="B6091">
            <v>39652</v>
          </cell>
          <cell r="C6091">
            <v>1797.43</v>
          </cell>
        </row>
        <row r="6092">
          <cell r="B6092">
            <v>39653</v>
          </cell>
          <cell r="C6092">
            <v>1772.25</v>
          </cell>
        </row>
        <row r="6093">
          <cell r="B6093">
            <v>39654</v>
          </cell>
          <cell r="C6093">
            <v>1777.1</v>
          </cell>
        </row>
        <row r="6094">
          <cell r="B6094">
            <v>39655</v>
          </cell>
          <cell r="C6094">
            <v>1785.17</v>
          </cell>
        </row>
        <row r="6095">
          <cell r="B6095">
            <v>39656</v>
          </cell>
          <cell r="C6095">
            <v>1785.17</v>
          </cell>
        </row>
        <row r="6096">
          <cell r="B6096">
            <v>39657</v>
          </cell>
          <cell r="C6096">
            <v>1785.17</v>
          </cell>
        </row>
        <row r="6097">
          <cell r="B6097">
            <v>39658</v>
          </cell>
          <cell r="C6097">
            <v>1764.48</v>
          </cell>
        </row>
        <row r="6098">
          <cell r="B6098">
            <v>39659</v>
          </cell>
          <cell r="C6098">
            <v>1789.68</v>
          </cell>
        </row>
        <row r="6099">
          <cell r="B6099">
            <v>39660</v>
          </cell>
          <cell r="C6099">
            <v>1792.24</v>
          </cell>
        </row>
        <row r="6100">
          <cell r="B6100">
            <v>39661</v>
          </cell>
          <cell r="C6100">
            <v>1800.54</v>
          </cell>
        </row>
        <row r="6101">
          <cell r="B6101">
            <v>39662</v>
          </cell>
          <cell r="C6101">
            <v>1779.97</v>
          </cell>
        </row>
        <row r="6102">
          <cell r="B6102">
            <v>39663</v>
          </cell>
          <cell r="C6102">
            <v>1779.97</v>
          </cell>
        </row>
        <row r="6103">
          <cell r="B6103">
            <v>39664</v>
          </cell>
          <cell r="C6103">
            <v>1779.97</v>
          </cell>
        </row>
        <row r="6104">
          <cell r="B6104">
            <v>39665</v>
          </cell>
          <cell r="C6104">
            <v>1771.31</v>
          </cell>
        </row>
        <row r="6105">
          <cell r="B6105">
            <v>39666</v>
          </cell>
          <cell r="C6105">
            <v>1772.16</v>
          </cell>
        </row>
        <row r="6106">
          <cell r="B6106">
            <v>39667</v>
          </cell>
          <cell r="C6106">
            <v>1782.92</v>
          </cell>
        </row>
        <row r="6107">
          <cell r="B6107">
            <v>39668</v>
          </cell>
          <cell r="C6107">
            <v>1782.92</v>
          </cell>
        </row>
        <row r="6108">
          <cell r="B6108">
            <v>39669</v>
          </cell>
          <cell r="C6108">
            <v>1816.25</v>
          </cell>
        </row>
        <row r="6109">
          <cell r="B6109">
            <v>39670</v>
          </cell>
          <cell r="C6109">
            <v>1816.25</v>
          </cell>
        </row>
        <row r="6110">
          <cell r="B6110">
            <v>39671</v>
          </cell>
          <cell r="C6110">
            <v>1816.25</v>
          </cell>
        </row>
        <row r="6111">
          <cell r="B6111">
            <v>39672</v>
          </cell>
          <cell r="C6111">
            <v>1821.76</v>
          </cell>
        </row>
        <row r="6112">
          <cell r="B6112">
            <v>39673</v>
          </cell>
          <cell r="C6112">
            <v>1836.25</v>
          </cell>
        </row>
        <row r="6113">
          <cell r="B6113">
            <v>39674</v>
          </cell>
          <cell r="C6113">
            <v>1854.16</v>
          </cell>
        </row>
        <row r="6114">
          <cell r="B6114">
            <v>39675</v>
          </cell>
          <cell r="C6114">
            <v>1853.45</v>
          </cell>
        </row>
        <row r="6115">
          <cell r="B6115">
            <v>39676</v>
          </cell>
          <cell r="C6115">
            <v>1882.11</v>
          </cell>
        </row>
        <row r="6116">
          <cell r="B6116">
            <v>39677</v>
          </cell>
          <cell r="C6116">
            <v>1882.11</v>
          </cell>
        </row>
        <row r="6117">
          <cell r="B6117">
            <v>39678</v>
          </cell>
          <cell r="C6117">
            <v>1882.11</v>
          </cell>
        </row>
        <row r="6118">
          <cell r="B6118">
            <v>39679</v>
          </cell>
          <cell r="C6118">
            <v>1882.11</v>
          </cell>
        </row>
        <row r="6119">
          <cell r="B6119">
            <v>39680</v>
          </cell>
          <cell r="C6119">
            <v>1891.99</v>
          </cell>
        </row>
        <row r="6120">
          <cell r="B6120">
            <v>39681</v>
          </cell>
          <cell r="C6120">
            <v>1880.69</v>
          </cell>
        </row>
        <row r="6121">
          <cell r="B6121">
            <v>39682</v>
          </cell>
          <cell r="C6121">
            <v>1864.26</v>
          </cell>
        </row>
        <row r="6122">
          <cell r="B6122">
            <v>39683</v>
          </cell>
          <cell r="C6122">
            <v>1872.07</v>
          </cell>
        </row>
        <row r="6123">
          <cell r="B6123">
            <v>39684</v>
          </cell>
          <cell r="C6123">
            <v>1872.07</v>
          </cell>
        </row>
        <row r="6124">
          <cell r="B6124">
            <v>39685</v>
          </cell>
          <cell r="C6124">
            <v>1872.07</v>
          </cell>
        </row>
        <row r="6125">
          <cell r="B6125">
            <v>39686</v>
          </cell>
          <cell r="C6125">
            <v>1873.94</v>
          </cell>
        </row>
        <row r="6126">
          <cell r="B6126">
            <v>39687</v>
          </cell>
          <cell r="C6126">
            <v>1892.06</v>
          </cell>
        </row>
        <row r="6127">
          <cell r="B6127">
            <v>39688</v>
          </cell>
          <cell r="C6127">
            <v>1887.71</v>
          </cell>
        </row>
        <row r="6128">
          <cell r="B6128">
            <v>39689</v>
          </cell>
          <cell r="C6128">
            <v>1907.97</v>
          </cell>
        </row>
        <row r="6129">
          <cell r="B6129">
            <v>39690</v>
          </cell>
          <cell r="C6129">
            <v>1932.2</v>
          </cell>
        </row>
        <row r="6130">
          <cell r="B6130">
            <v>39691</v>
          </cell>
          <cell r="C6130">
            <v>1932.2</v>
          </cell>
        </row>
        <row r="6131">
          <cell r="B6131">
            <v>39692</v>
          </cell>
          <cell r="C6131">
            <v>1932.2</v>
          </cell>
        </row>
        <row r="6132">
          <cell r="B6132">
            <v>39693</v>
          </cell>
          <cell r="C6132">
            <v>1932.2</v>
          </cell>
        </row>
        <row r="6133">
          <cell r="B6133">
            <v>39694</v>
          </cell>
          <cell r="C6133">
            <v>1975.1</v>
          </cell>
        </row>
        <row r="6134">
          <cell r="B6134">
            <v>39695</v>
          </cell>
          <cell r="C6134">
            <v>1992.59</v>
          </cell>
        </row>
        <row r="6135">
          <cell r="B6135">
            <v>39696</v>
          </cell>
          <cell r="C6135">
            <v>2017.53</v>
          </cell>
        </row>
        <row r="6136">
          <cell r="B6136">
            <v>39697</v>
          </cell>
          <cell r="C6136">
            <v>2041.81</v>
          </cell>
        </row>
        <row r="6137">
          <cell r="B6137">
            <v>39698</v>
          </cell>
          <cell r="C6137">
            <v>2041.81</v>
          </cell>
        </row>
        <row r="6138">
          <cell r="B6138">
            <v>39699</v>
          </cell>
          <cell r="C6138">
            <v>2041.81</v>
          </cell>
        </row>
        <row r="6139">
          <cell r="B6139">
            <v>39700</v>
          </cell>
          <cell r="C6139">
            <v>2031.12</v>
          </cell>
        </row>
        <row r="6140">
          <cell r="B6140">
            <v>39701</v>
          </cell>
          <cell r="C6140">
            <v>2071.2399999999998</v>
          </cell>
        </row>
        <row r="6141">
          <cell r="B6141">
            <v>39702</v>
          </cell>
          <cell r="C6141">
            <v>2081.3200000000002</v>
          </cell>
        </row>
        <row r="6142">
          <cell r="B6142">
            <v>39703</v>
          </cell>
          <cell r="C6142">
            <v>2082.46</v>
          </cell>
        </row>
        <row r="6143">
          <cell r="B6143">
            <v>39704</v>
          </cell>
          <cell r="C6143">
            <v>2051.5500000000002</v>
          </cell>
        </row>
        <row r="6144">
          <cell r="B6144">
            <v>39705</v>
          </cell>
          <cell r="C6144">
            <v>2051.5500000000002</v>
          </cell>
        </row>
        <row r="6145">
          <cell r="B6145">
            <v>39706</v>
          </cell>
          <cell r="C6145">
            <v>2051.5500000000002</v>
          </cell>
        </row>
        <row r="6146">
          <cell r="B6146">
            <v>39707</v>
          </cell>
          <cell r="C6146">
            <v>2071.29</v>
          </cell>
        </row>
        <row r="6147">
          <cell r="B6147">
            <v>39708</v>
          </cell>
          <cell r="C6147">
            <v>2109.37</v>
          </cell>
        </row>
        <row r="6148">
          <cell r="B6148">
            <v>39709</v>
          </cell>
          <cell r="C6148">
            <v>2139.14</v>
          </cell>
        </row>
        <row r="6149">
          <cell r="B6149">
            <v>39710</v>
          </cell>
          <cell r="C6149">
            <v>2187.0100000000002</v>
          </cell>
        </row>
        <row r="6150">
          <cell r="B6150">
            <v>39711</v>
          </cell>
          <cell r="C6150">
            <v>2067.4499999999998</v>
          </cell>
        </row>
        <row r="6151">
          <cell r="B6151">
            <v>39712</v>
          </cell>
          <cell r="C6151">
            <v>2067.4499999999998</v>
          </cell>
        </row>
        <row r="6152">
          <cell r="B6152">
            <v>39713</v>
          </cell>
          <cell r="C6152">
            <v>2067.4499999999998</v>
          </cell>
        </row>
        <row r="6153">
          <cell r="B6153">
            <v>39714</v>
          </cell>
          <cell r="C6153">
            <v>2045.85</v>
          </cell>
        </row>
        <row r="6154">
          <cell r="B6154">
            <v>39715</v>
          </cell>
          <cell r="C6154">
            <v>2077.59</v>
          </cell>
        </row>
        <row r="6155">
          <cell r="B6155">
            <v>39716</v>
          </cell>
          <cell r="C6155">
            <v>2147.41</v>
          </cell>
        </row>
        <row r="6156">
          <cell r="B6156">
            <v>39717</v>
          </cell>
          <cell r="C6156">
            <v>2118.31</v>
          </cell>
        </row>
        <row r="6157">
          <cell r="B6157">
            <v>39718</v>
          </cell>
          <cell r="C6157">
            <v>2105.61</v>
          </cell>
        </row>
        <row r="6158">
          <cell r="B6158">
            <v>39719</v>
          </cell>
          <cell r="C6158">
            <v>2105.61</v>
          </cell>
        </row>
        <row r="6159">
          <cell r="B6159">
            <v>39720</v>
          </cell>
          <cell r="C6159">
            <v>2105.61</v>
          </cell>
        </row>
        <row r="6160">
          <cell r="B6160">
            <v>39721</v>
          </cell>
          <cell r="C6160">
            <v>2174.62</v>
          </cell>
        </row>
        <row r="6161">
          <cell r="B6161">
            <v>39722</v>
          </cell>
          <cell r="C6161">
            <v>2184.7600000000002</v>
          </cell>
        </row>
        <row r="6162">
          <cell r="B6162">
            <v>39723</v>
          </cell>
          <cell r="C6162">
            <v>2166.0500000000002</v>
          </cell>
        </row>
        <row r="6163">
          <cell r="B6163">
            <v>39724</v>
          </cell>
          <cell r="C6163">
            <v>2192.69</v>
          </cell>
        </row>
        <row r="6164">
          <cell r="B6164">
            <v>39725</v>
          </cell>
          <cell r="C6164">
            <v>2160.08</v>
          </cell>
        </row>
        <row r="6165">
          <cell r="B6165">
            <v>39726</v>
          </cell>
          <cell r="C6165">
            <v>2160.08</v>
          </cell>
        </row>
        <row r="6166">
          <cell r="B6166">
            <v>39727</v>
          </cell>
          <cell r="C6166">
            <v>2160.08</v>
          </cell>
        </row>
        <row r="6167">
          <cell r="B6167">
            <v>39728</v>
          </cell>
          <cell r="C6167">
            <v>2250.73</v>
          </cell>
        </row>
        <row r="6168">
          <cell r="B6168">
            <v>39729</v>
          </cell>
          <cell r="C6168">
            <v>2261.96</v>
          </cell>
        </row>
        <row r="6169">
          <cell r="B6169">
            <v>39730</v>
          </cell>
          <cell r="C6169">
            <v>2326.41</v>
          </cell>
        </row>
        <row r="6170">
          <cell r="B6170">
            <v>39731</v>
          </cell>
          <cell r="C6170">
            <v>2254.2399999999998</v>
          </cell>
        </row>
        <row r="6171">
          <cell r="B6171">
            <v>39732</v>
          </cell>
          <cell r="C6171">
            <v>2318.63</v>
          </cell>
        </row>
        <row r="6172">
          <cell r="B6172">
            <v>39733</v>
          </cell>
          <cell r="C6172">
            <v>2318.63</v>
          </cell>
        </row>
        <row r="6173">
          <cell r="B6173">
            <v>39734</v>
          </cell>
          <cell r="C6173">
            <v>2318.63</v>
          </cell>
        </row>
        <row r="6174">
          <cell r="B6174">
            <v>39735</v>
          </cell>
          <cell r="C6174">
            <v>2318.63</v>
          </cell>
        </row>
        <row r="6175">
          <cell r="B6175">
            <v>39736</v>
          </cell>
          <cell r="C6175">
            <v>2223.94</v>
          </cell>
        </row>
        <row r="6176">
          <cell r="B6176">
            <v>39737</v>
          </cell>
          <cell r="C6176">
            <v>2316.54</v>
          </cell>
        </row>
        <row r="6177">
          <cell r="B6177">
            <v>39738</v>
          </cell>
          <cell r="C6177">
            <v>2304.6799999999998</v>
          </cell>
        </row>
        <row r="6178">
          <cell r="B6178">
            <v>39739</v>
          </cell>
          <cell r="C6178">
            <v>2271.98</v>
          </cell>
        </row>
        <row r="6179">
          <cell r="B6179">
            <v>39740</v>
          </cell>
          <cell r="C6179">
            <v>2271.98</v>
          </cell>
        </row>
        <row r="6180">
          <cell r="B6180">
            <v>39741</v>
          </cell>
          <cell r="C6180">
            <v>2271.98</v>
          </cell>
        </row>
        <row r="6181">
          <cell r="B6181">
            <v>39742</v>
          </cell>
          <cell r="C6181">
            <v>2243.4899999999998</v>
          </cell>
        </row>
        <row r="6182">
          <cell r="B6182">
            <v>39743</v>
          </cell>
          <cell r="C6182">
            <v>2296.3200000000002</v>
          </cell>
        </row>
        <row r="6183">
          <cell r="B6183">
            <v>39744</v>
          </cell>
          <cell r="C6183">
            <v>2346.4699999999998</v>
          </cell>
        </row>
        <row r="6184">
          <cell r="B6184">
            <v>39745</v>
          </cell>
          <cell r="C6184">
            <v>2361.0100000000002</v>
          </cell>
        </row>
        <row r="6185">
          <cell r="B6185">
            <v>39746</v>
          </cell>
          <cell r="C6185">
            <v>2386.48</v>
          </cell>
        </row>
        <row r="6186">
          <cell r="B6186">
            <v>39747</v>
          </cell>
          <cell r="C6186">
            <v>2386.48</v>
          </cell>
        </row>
        <row r="6187">
          <cell r="B6187">
            <v>39748</v>
          </cell>
          <cell r="C6187">
            <v>2386.48</v>
          </cell>
        </row>
        <row r="6188">
          <cell r="B6188">
            <v>39749</v>
          </cell>
          <cell r="C6188">
            <v>2379.2399999999998</v>
          </cell>
        </row>
        <row r="6189">
          <cell r="B6189">
            <v>39750</v>
          </cell>
          <cell r="C6189">
            <v>2382.31</v>
          </cell>
        </row>
        <row r="6190">
          <cell r="B6190">
            <v>39751</v>
          </cell>
          <cell r="C6190">
            <v>2374.1</v>
          </cell>
        </row>
        <row r="6191">
          <cell r="B6191">
            <v>39752</v>
          </cell>
          <cell r="C6191">
            <v>2359.52</v>
          </cell>
        </row>
        <row r="6192">
          <cell r="B6192">
            <v>39753</v>
          </cell>
          <cell r="C6192">
            <v>2392.2800000000002</v>
          </cell>
        </row>
        <row r="6193">
          <cell r="B6193">
            <v>39754</v>
          </cell>
          <cell r="C6193">
            <v>2392.2800000000002</v>
          </cell>
        </row>
        <row r="6194">
          <cell r="B6194">
            <v>39755</v>
          </cell>
          <cell r="C6194">
            <v>2392.2800000000002</v>
          </cell>
        </row>
        <row r="6195">
          <cell r="B6195">
            <v>39756</v>
          </cell>
          <cell r="C6195">
            <v>2392.2800000000002</v>
          </cell>
        </row>
        <row r="6196">
          <cell r="B6196">
            <v>39757</v>
          </cell>
          <cell r="C6196">
            <v>2351.56</v>
          </cell>
        </row>
        <row r="6197">
          <cell r="B6197">
            <v>39758</v>
          </cell>
          <cell r="C6197">
            <v>2327.7800000000002</v>
          </cell>
        </row>
        <row r="6198">
          <cell r="B6198">
            <v>39759</v>
          </cell>
          <cell r="C6198">
            <v>2342.65</v>
          </cell>
        </row>
        <row r="6199">
          <cell r="B6199">
            <v>39760</v>
          </cell>
          <cell r="C6199">
            <v>2317.34</v>
          </cell>
        </row>
        <row r="6200">
          <cell r="B6200">
            <v>39761</v>
          </cell>
          <cell r="C6200">
            <v>2317.34</v>
          </cell>
        </row>
        <row r="6201">
          <cell r="B6201">
            <v>39762</v>
          </cell>
          <cell r="C6201">
            <v>2317.34</v>
          </cell>
        </row>
        <row r="6202">
          <cell r="B6202">
            <v>39763</v>
          </cell>
          <cell r="C6202">
            <v>2281.2399999999998</v>
          </cell>
        </row>
        <row r="6203">
          <cell r="B6203">
            <v>39764</v>
          </cell>
          <cell r="C6203">
            <v>2281.2399999999998</v>
          </cell>
        </row>
        <row r="6204">
          <cell r="B6204">
            <v>39765</v>
          </cell>
          <cell r="C6204">
            <v>2335.02</v>
          </cell>
        </row>
        <row r="6205">
          <cell r="B6205">
            <v>39766</v>
          </cell>
          <cell r="C6205">
            <v>2329.8200000000002</v>
          </cell>
        </row>
        <row r="6206">
          <cell r="B6206">
            <v>39767</v>
          </cell>
          <cell r="C6206">
            <v>2308.65</v>
          </cell>
        </row>
        <row r="6207">
          <cell r="B6207">
            <v>39768</v>
          </cell>
          <cell r="C6207">
            <v>2308.65</v>
          </cell>
        </row>
        <row r="6208">
          <cell r="B6208">
            <v>39769</v>
          </cell>
          <cell r="C6208">
            <v>2308.65</v>
          </cell>
        </row>
        <row r="6209">
          <cell r="B6209">
            <v>39770</v>
          </cell>
          <cell r="C6209">
            <v>2308.65</v>
          </cell>
        </row>
        <row r="6210">
          <cell r="B6210">
            <v>39771</v>
          </cell>
          <cell r="C6210">
            <v>2329.9</v>
          </cell>
        </row>
        <row r="6211">
          <cell r="B6211">
            <v>39772</v>
          </cell>
          <cell r="C6211">
            <v>2342.1799999999998</v>
          </cell>
        </row>
        <row r="6212">
          <cell r="B6212">
            <v>39773</v>
          </cell>
          <cell r="C6212">
            <v>2359.2600000000002</v>
          </cell>
        </row>
        <row r="6213">
          <cell r="B6213">
            <v>39774</v>
          </cell>
          <cell r="C6213">
            <v>2355.71</v>
          </cell>
        </row>
        <row r="6214">
          <cell r="B6214">
            <v>39775</v>
          </cell>
          <cell r="C6214">
            <v>2355.71</v>
          </cell>
        </row>
        <row r="6215">
          <cell r="B6215">
            <v>39776</v>
          </cell>
          <cell r="C6215">
            <v>2355.71</v>
          </cell>
        </row>
        <row r="6216">
          <cell r="B6216">
            <v>39777</v>
          </cell>
          <cell r="C6216">
            <v>2314.7199999999998</v>
          </cell>
        </row>
        <row r="6217">
          <cell r="B6217">
            <v>39778</v>
          </cell>
          <cell r="C6217">
            <v>2307.37</v>
          </cell>
        </row>
        <row r="6218">
          <cell r="B6218">
            <v>39779</v>
          </cell>
          <cell r="C6218">
            <v>2324.1</v>
          </cell>
        </row>
        <row r="6219">
          <cell r="B6219">
            <v>39780</v>
          </cell>
          <cell r="C6219">
            <v>2324.1</v>
          </cell>
        </row>
        <row r="6220">
          <cell r="B6220">
            <v>39781</v>
          </cell>
          <cell r="C6220">
            <v>2318</v>
          </cell>
        </row>
        <row r="6221">
          <cell r="B6221">
            <v>39782</v>
          </cell>
          <cell r="C6221">
            <v>2318</v>
          </cell>
        </row>
        <row r="6222">
          <cell r="B6222">
            <v>39783</v>
          </cell>
          <cell r="C6222">
            <v>2318</v>
          </cell>
        </row>
        <row r="6223">
          <cell r="B6223">
            <v>39784</v>
          </cell>
          <cell r="C6223">
            <v>2320.12</v>
          </cell>
        </row>
        <row r="6224">
          <cell r="B6224">
            <v>39785</v>
          </cell>
          <cell r="C6224">
            <v>2315.35</v>
          </cell>
        </row>
        <row r="6225">
          <cell r="B6225">
            <v>39786</v>
          </cell>
          <cell r="C6225">
            <v>2317.48</v>
          </cell>
        </row>
        <row r="6226">
          <cell r="B6226">
            <v>39787</v>
          </cell>
          <cell r="C6226">
            <v>2323.2800000000002</v>
          </cell>
        </row>
        <row r="6227">
          <cell r="B6227">
            <v>39788</v>
          </cell>
          <cell r="C6227">
            <v>2333.54</v>
          </cell>
        </row>
        <row r="6228">
          <cell r="B6228">
            <v>39789</v>
          </cell>
          <cell r="C6228">
            <v>2333.54</v>
          </cell>
        </row>
        <row r="6229">
          <cell r="B6229">
            <v>39790</v>
          </cell>
          <cell r="C6229">
            <v>2333.54</v>
          </cell>
        </row>
        <row r="6230">
          <cell r="B6230">
            <v>39791</v>
          </cell>
          <cell r="C6230">
            <v>2333.54</v>
          </cell>
        </row>
        <row r="6231">
          <cell r="B6231">
            <v>39792</v>
          </cell>
          <cell r="C6231">
            <v>2311.6999999999998</v>
          </cell>
        </row>
        <row r="6232">
          <cell r="B6232">
            <v>39793</v>
          </cell>
          <cell r="C6232">
            <v>2302.9299999999998</v>
          </cell>
        </row>
        <row r="6233">
          <cell r="B6233">
            <v>39794</v>
          </cell>
          <cell r="C6233">
            <v>2278.29</v>
          </cell>
        </row>
        <row r="6234">
          <cell r="B6234">
            <v>39795</v>
          </cell>
          <cell r="C6234">
            <v>2273.2399999999998</v>
          </cell>
        </row>
        <row r="6235">
          <cell r="B6235">
            <v>39796</v>
          </cell>
          <cell r="C6235">
            <v>2273.2399999999998</v>
          </cell>
        </row>
        <row r="6236">
          <cell r="B6236">
            <v>39797</v>
          </cell>
          <cell r="C6236">
            <v>2273.2399999999998</v>
          </cell>
        </row>
        <row r="6237">
          <cell r="B6237">
            <v>39798</v>
          </cell>
          <cell r="C6237">
            <v>2254.5</v>
          </cell>
        </row>
        <row r="6238">
          <cell r="B6238">
            <v>39799</v>
          </cell>
          <cell r="C6238">
            <v>2223.3000000000002</v>
          </cell>
        </row>
        <row r="6239">
          <cell r="B6239">
            <v>39800</v>
          </cell>
          <cell r="C6239">
            <v>2173.86</v>
          </cell>
        </row>
        <row r="6240">
          <cell r="B6240">
            <v>39801</v>
          </cell>
          <cell r="C6240">
            <v>2163.14</v>
          </cell>
        </row>
        <row r="6241">
          <cell r="B6241">
            <v>39802</v>
          </cell>
          <cell r="C6241">
            <v>2167.35</v>
          </cell>
        </row>
        <row r="6242">
          <cell r="B6242">
            <v>39803</v>
          </cell>
          <cell r="C6242">
            <v>2167.35</v>
          </cell>
        </row>
        <row r="6243">
          <cell r="B6243">
            <v>39804</v>
          </cell>
          <cell r="C6243">
            <v>2167.35</v>
          </cell>
        </row>
        <row r="6244">
          <cell r="B6244">
            <v>39805</v>
          </cell>
          <cell r="C6244">
            <v>2169.83</v>
          </cell>
        </row>
        <row r="6245">
          <cell r="B6245">
            <v>39806</v>
          </cell>
          <cell r="C6245">
            <v>2180.4899999999998</v>
          </cell>
        </row>
        <row r="6246">
          <cell r="B6246">
            <v>39807</v>
          </cell>
          <cell r="C6246">
            <v>2198.09</v>
          </cell>
        </row>
        <row r="6247">
          <cell r="B6247">
            <v>39808</v>
          </cell>
          <cell r="C6247">
            <v>2198.09</v>
          </cell>
        </row>
        <row r="6248">
          <cell r="B6248">
            <v>39809</v>
          </cell>
          <cell r="C6248">
            <v>2204.9499999999998</v>
          </cell>
        </row>
        <row r="6249">
          <cell r="B6249">
            <v>39810</v>
          </cell>
          <cell r="C6249">
            <v>2204.9499999999998</v>
          </cell>
        </row>
        <row r="6250">
          <cell r="B6250">
            <v>39811</v>
          </cell>
          <cell r="C6250">
            <v>2204.9499999999998</v>
          </cell>
        </row>
        <row r="6251">
          <cell r="B6251">
            <v>39812</v>
          </cell>
          <cell r="C6251">
            <v>2234</v>
          </cell>
        </row>
        <row r="6252">
          <cell r="B6252">
            <v>39813</v>
          </cell>
          <cell r="C6252">
            <v>2243.59</v>
          </cell>
        </row>
        <row r="6253">
          <cell r="B6253">
            <v>39814</v>
          </cell>
          <cell r="C6253">
            <v>2243.59</v>
          </cell>
        </row>
        <row r="6254">
          <cell r="B6254">
            <v>39815</v>
          </cell>
          <cell r="C6254">
            <v>2243.59</v>
          </cell>
        </row>
        <row r="6255">
          <cell r="B6255">
            <v>39816</v>
          </cell>
          <cell r="C6255">
            <v>2234.81</v>
          </cell>
        </row>
        <row r="6256">
          <cell r="B6256">
            <v>39817</v>
          </cell>
          <cell r="C6256">
            <v>2234.81</v>
          </cell>
        </row>
        <row r="6257">
          <cell r="B6257">
            <v>39818</v>
          </cell>
          <cell r="C6257">
            <v>2234.81</v>
          </cell>
        </row>
        <row r="6258">
          <cell r="B6258">
            <v>39819</v>
          </cell>
          <cell r="C6258">
            <v>2227.2399999999998</v>
          </cell>
        </row>
        <row r="6259">
          <cell r="B6259">
            <v>39820</v>
          </cell>
          <cell r="C6259">
            <v>2197.7199999999998</v>
          </cell>
        </row>
        <row r="6260">
          <cell r="B6260">
            <v>39821</v>
          </cell>
          <cell r="C6260">
            <v>2214.13</v>
          </cell>
        </row>
        <row r="6261">
          <cell r="B6261">
            <v>39822</v>
          </cell>
          <cell r="C6261">
            <v>2220.8200000000002</v>
          </cell>
        </row>
        <row r="6262">
          <cell r="B6262">
            <v>39823</v>
          </cell>
          <cell r="C6262">
            <v>2216.23</v>
          </cell>
        </row>
        <row r="6263">
          <cell r="B6263">
            <v>39824</v>
          </cell>
          <cell r="C6263">
            <v>2216.23</v>
          </cell>
        </row>
        <row r="6264">
          <cell r="B6264">
            <v>39825</v>
          </cell>
          <cell r="C6264">
            <v>2216.23</v>
          </cell>
        </row>
        <row r="6265">
          <cell r="B6265">
            <v>39826</v>
          </cell>
          <cell r="C6265">
            <v>2216.23</v>
          </cell>
        </row>
        <row r="6266">
          <cell r="B6266">
            <v>39827</v>
          </cell>
          <cell r="C6266">
            <v>2226.87</v>
          </cell>
        </row>
        <row r="6267">
          <cell r="B6267">
            <v>39828</v>
          </cell>
          <cell r="C6267">
            <v>2234.4</v>
          </cell>
        </row>
        <row r="6268">
          <cell r="B6268">
            <v>39829</v>
          </cell>
          <cell r="C6268">
            <v>2249.64</v>
          </cell>
        </row>
        <row r="6269">
          <cell r="B6269">
            <v>39830</v>
          </cell>
          <cell r="C6269">
            <v>2227.6799999999998</v>
          </cell>
        </row>
        <row r="6270">
          <cell r="B6270">
            <v>39831</v>
          </cell>
          <cell r="C6270">
            <v>2227.6799999999998</v>
          </cell>
        </row>
        <row r="6271">
          <cell r="B6271">
            <v>39832</v>
          </cell>
          <cell r="C6271">
            <v>2227.6799999999998</v>
          </cell>
        </row>
        <row r="6272">
          <cell r="B6272">
            <v>39833</v>
          </cell>
          <cell r="C6272">
            <v>2227.6799999999998</v>
          </cell>
        </row>
        <row r="6273">
          <cell r="B6273">
            <v>39834</v>
          </cell>
          <cell r="C6273">
            <v>2245.2800000000002</v>
          </cell>
        </row>
        <row r="6274">
          <cell r="B6274">
            <v>39835</v>
          </cell>
          <cell r="C6274">
            <v>2245.9699999999998</v>
          </cell>
        </row>
        <row r="6275">
          <cell r="B6275">
            <v>39836</v>
          </cell>
          <cell r="C6275">
            <v>2247.87</v>
          </cell>
        </row>
        <row r="6276">
          <cell r="B6276">
            <v>39837</v>
          </cell>
          <cell r="C6276">
            <v>2280.77</v>
          </cell>
        </row>
        <row r="6277">
          <cell r="B6277">
            <v>39838</v>
          </cell>
          <cell r="C6277">
            <v>2280.77</v>
          </cell>
        </row>
        <row r="6278">
          <cell r="B6278">
            <v>39839</v>
          </cell>
          <cell r="C6278">
            <v>2280.77</v>
          </cell>
        </row>
        <row r="6279">
          <cell r="B6279">
            <v>39840</v>
          </cell>
          <cell r="C6279">
            <v>2280.4299999999998</v>
          </cell>
        </row>
        <row r="6280">
          <cell r="B6280">
            <v>39841</v>
          </cell>
          <cell r="C6280">
            <v>2310.83</v>
          </cell>
        </row>
        <row r="6281">
          <cell r="B6281">
            <v>39842</v>
          </cell>
          <cell r="C6281">
            <v>2341.09</v>
          </cell>
        </row>
        <row r="6282">
          <cell r="B6282">
            <v>39843</v>
          </cell>
          <cell r="C6282">
            <v>2386.58</v>
          </cell>
        </row>
        <row r="6283">
          <cell r="B6283">
            <v>39844</v>
          </cell>
          <cell r="C6283">
            <v>2420.2600000000002</v>
          </cell>
        </row>
        <row r="6284">
          <cell r="B6284">
            <v>39845</v>
          </cell>
          <cell r="C6284">
            <v>2420.2600000000002</v>
          </cell>
        </row>
        <row r="6285">
          <cell r="B6285">
            <v>39846</v>
          </cell>
          <cell r="C6285">
            <v>2420.2600000000002</v>
          </cell>
        </row>
        <row r="6286">
          <cell r="B6286">
            <v>39847</v>
          </cell>
          <cell r="C6286">
            <v>2450.7800000000002</v>
          </cell>
        </row>
        <row r="6287">
          <cell r="B6287">
            <v>39848</v>
          </cell>
          <cell r="C6287">
            <v>2443.67</v>
          </cell>
        </row>
        <row r="6288">
          <cell r="B6288">
            <v>39849</v>
          </cell>
          <cell r="C6288">
            <v>2469.02</v>
          </cell>
        </row>
        <row r="6289">
          <cell r="B6289">
            <v>39850</v>
          </cell>
          <cell r="C6289">
            <v>2472.65</v>
          </cell>
        </row>
        <row r="6290">
          <cell r="B6290">
            <v>39851</v>
          </cell>
          <cell r="C6290">
            <v>2449.4899999999998</v>
          </cell>
        </row>
        <row r="6291">
          <cell r="B6291">
            <v>39852</v>
          </cell>
          <cell r="C6291">
            <v>2449.4899999999998</v>
          </cell>
        </row>
        <row r="6292">
          <cell r="B6292">
            <v>39853</v>
          </cell>
          <cell r="C6292">
            <v>2449.4899999999998</v>
          </cell>
        </row>
        <row r="6293">
          <cell r="B6293">
            <v>39854</v>
          </cell>
          <cell r="C6293">
            <v>2450.6</v>
          </cell>
        </row>
        <row r="6294">
          <cell r="B6294">
            <v>39855</v>
          </cell>
          <cell r="C6294">
            <v>2494.0700000000002</v>
          </cell>
        </row>
        <row r="6295">
          <cell r="B6295">
            <v>39856</v>
          </cell>
          <cell r="C6295">
            <v>2537.8200000000002</v>
          </cell>
        </row>
        <row r="6296">
          <cell r="B6296">
            <v>39857</v>
          </cell>
          <cell r="C6296">
            <v>2520.06</v>
          </cell>
        </row>
        <row r="6297">
          <cell r="B6297">
            <v>39858</v>
          </cell>
          <cell r="C6297">
            <v>2509.5</v>
          </cell>
        </row>
        <row r="6298">
          <cell r="B6298">
            <v>39859</v>
          </cell>
          <cell r="C6298">
            <v>2509.5</v>
          </cell>
        </row>
        <row r="6299">
          <cell r="B6299">
            <v>39860</v>
          </cell>
          <cell r="C6299">
            <v>2509.5</v>
          </cell>
        </row>
        <row r="6300">
          <cell r="B6300">
            <v>39861</v>
          </cell>
          <cell r="C6300">
            <v>2509.5</v>
          </cell>
        </row>
        <row r="6301">
          <cell r="B6301">
            <v>39862</v>
          </cell>
          <cell r="C6301">
            <v>2554.4</v>
          </cell>
        </row>
        <row r="6302">
          <cell r="B6302">
            <v>39863</v>
          </cell>
          <cell r="C6302">
            <v>2558.14</v>
          </cell>
        </row>
        <row r="6303">
          <cell r="B6303">
            <v>39864</v>
          </cell>
          <cell r="C6303">
            <v>2547.4</v>
          </cell>
        </row>
        <row r="6304">
          <cell r="B6304">
            <v>39865</v>
          </cell>
          <cell r="C6304">
            <v>2588.31</v>
          </cell>
        </row>
        <row r="6305">
          <cell r="B6305">
            <v>39866</v>
          </cell>
          <cell r="C6305">
            <v>2588.31</v>
          </cell>
        </row>
        <row r="6306">
          <cell r="B6306">
            <v>39867</v>
          </cell>
          <cell r="C6306">
            <v>2588.31</v>
          </cell>
        </row>
        <row r="6307">
          <cell r="B6307">
            <v>39868</v>
          </cell>
          <cell r="C6307">
            <v>2572.3000000000002</v>
          </cell>
        </row>
        <row r="6308">
          <cell r="B6308">
            <v>39869</v>
          </cell>
          <cell r="C6308">
            <v>2596.37</v>
          </cell>
        </row>
        <row r="6309">
          <cell r="B6309">
            <v>39870</v>
          </cell>
          <cell r="C6309">
            <v>2575.5</v>
          </cell>
        </row>
        <row r="6310">
          <cell r="B6310">
            <v>39871</v>
          </cell>
          <cell r="C6310">
            <v>2555.0500000000002</v>
          </cell>
        </row>
        <row r="6311">
          <cell r="B6311">
            <v>39872</v>
          </cell>
          <cell r="C6311">
            <v>2555.89</v>
          </cell>
        </row>
        <row r="6312">
          <cell r="B6312">
            <v>39873</v>
          </cell>
          <cell r="C6312">
            <v>2555.89</v>
          </cell>
        </row>
        <row r="6313">
          <cell r="B6313">
            <v>39874</v>
          </cell>
          <cell r="C6313">
            <v>2555.89</v>
          </cell>
        </row>
        <row r="6314">
          <cell r="B6314">
            <v>39875</v>
          </cell>
          <cell r="C6314">
            <v>2590.9699999999998</v>
          </cell>
        </row>
        <row r="6315">
          <cell r="B6315">
            <v>39876</v>
          </cell>
          <cell r="C6315">
            <v>2588.96</v>
          </cell>
        </row>
        <row r="6316">
          <cell r="B6316">
            <v>39877</v>
          </cell>
          <cell r="C6316">
            <v>2589.48</v>
          </cell>
        </row>
        <row r="6317">
          <cell r="B6317">
            <v>39878</v>
          </cell>
          <cell r="C6317">
            <v>2572.92</v>
          </cell>
        </row>
        <row r="6318">
          <cell r="B6318">
            <v>39879</v>
          </cell>
          <cell r="C6318">
            <v>2548.5700000000002</v>
          </cell>
        </row>
        <row r="6319">
          <cell r="B6319">
            <v>39880</v>
          </cell>
          <cell r="C6319">
            <v>2548.5700000000002</v>
          </cell>
        </row>
        <row r="6320">
          <cell r="B6320">
            <v>39881</v>
          </cell>
          <cell r="C6320">
            <v>2548.5700000000002</v>
          </cell>
        </row>
        <row r="6321">
          <cell r="B6321">
            <v>39882</v>
          </cell>
          <cell r="C6321">
            <v>2559.36</v>
          </cell>
        </row>
        <row r="6322">
          <cell r="B6322">
            <v>39883</v>
          </cell>
          <cell r="C6322">
            <v>2525.06</v>
          </cell>
        </row>
        <row r="6323">
          <cell r="B6323">
            <v>39884</v>
          </cell>
          <cell r="C6323">
            <v>2506.73</v>
          </cell>
        </row>
        <row r="6324">
          <cell r="B6324">
            <v>39885</v>
          </cell>
          <cell r="C6324">
            <v>2481.2600000000002</v>
          </cell>
        </row>
        <row r="6325">
          <cell r="B6325">
            <v>39886</v>
          </cell>
          <cell r="C6325">
            <v>2445.3000000000002</v>
          </cell>
        </row>
        <row r="6326">
          <cell r="B6326">
            <v>39887</v>
          </cell>
          <cell r="C6326">
            <v>2445.3000000000002</v>
          </cell>
        </row>
        <row r="6327">
          <cell r="B6327">
            <v>39888</v>
          </cell>
          <cell r="C6327">
            <v>2445.3000000000002</v>
          </cell>
        </row>
        <row r="6328">
          <cell r="B6328">
            <v>39889</v>
          </cell>
          <cell r="C6328">
            <v>2390.96</v>
          </cell>
        </row>
        <row r="6329">
          <cell r="B6329">
            <v>39890</v>
          </cell>
          <cell r="C6329">
            <v>2390.98</v>
          </cell>
        </row>
        <row r="6330">
          <cell r="B6330">
            <v>39891</v>
          </cell>
          <cell r="C6330">
            <v>2383.15</v>
          </cell>
        </row>
        <row r="6331">
          <cell r="B6331">
            <v>39892</v>
          </cell>
          <cell r="C6331">
            <v>2335.29</v>
          </cell>
        </row>
        <row r="6332">
          <cell r="B6332">
            <v>39893</v>
          </cell>
          <cell r="C6332">
            <v>2340.83</v>
          </cell>
        </row>
        <row r="6333">
          <cell r="B6333">
            <v>39894</v>
          </cell>
          <cell r="C6333">
            <v>2340.83</v>
          </cell>
        </row>
        <row r="6334">
          <cell r="B6334">
            <v>39895</v>
          </cell>
          <cell r="C6334">
            <v>2340.83</v>
          </cell>
        </row>
        <row r="6335">
          <cell r="B6335">
            <v>39896</v>
          </cell>
          <cell r="C6335">
            <v>2340.83</v>
          </cell>
        </row>
        <row r="6336">
          <cell r="B6336">
            <v>39897</v>
          </cell>
          <cell r="C6336">
            <v>2353.21</v>
          </cell>
        </row>
        <row r="6337">
          <cell r="B6337">
            <v>39898</v>
          </cell>
          <cell r="C6337">
            <v>2379.94</v>
          </cell>
        </row>
        <row r="6338">
          <cell r="B6338">
            <v>39899</v>
          </cell>
          <cell r="C6338">
            <v>2435.81</v>
          </cell>
        </row>
        <row r="6339">
          <cell r="B6339">
            <v>39900</v>
          </cell>
          <cell r="C6339">
            <v>2485.56</v>
          </cell>
        </row>
        <row r="6340">
          <cell r="B6340">
            <v>39901</v>
          </cell>
          <cell r="C6340">
            <v>2485.56</v>
          </cell>
        </row>
        <row r="6341">
          <cell r="B6341">
            <v>39902</v>
          </cell>
          <cell r="C6341">
            <v>2485.56</v>
          </cell>
        </row>
        <row r="6342">
          <cell r="B6342">
            <v>39903</v>
          </cell>
          <cell r="C6342">
            <v>2561.21</v>
          </cell>
        </row>
        <row r="6343">
          <cell r="B6343">
            <v>39904</v>
          </cell>
          <cell r="C6343">
            <v>2544.2399999999998</v>
          </cell>
        </row>
        <row r="6344">
          <cell r="B6344">
            <v>39905</v>
          </cell>
          <cell r="C6344">
            <v>2534.9899999999998</v>
          </cell>
        </row>
        <row r="6345">
          <cell r="B6345">
            <v>39906</v>
          </cell>
          <cell r="C6345">
            <v>2451.7199999999998</v>
          </cell>
        </row>
        <row r="6346">
          <cell r="B6346">
            <v>39907</v>
          </cell>
          <cell r="C6346">
            <v>2422.71</v>
          </cell>
        </row>
        <row r="6347">
          <cell r="B6347">
            <v>39908</v>
          </cell>
          <cell r="C6347">
            <v>2422.71</v>
          </cell>
        </row>
        <row r="6348">
          <cell r="B6348">
            <v>39909</v>
          </cell>
          <cell r="C6348">
            <v>2422.71</v>
          </cell>
        </row>
        <row r="6349">
          <cell r="B6349">
            <v>39910</v>
          </cell>
          <cell r="C6349">
            <v>2408.42</v>
          </cell>
        </row>
        <row r="6350">
          <cell r="B6350">
            <v>39911</v>
          </cell>
          <cell r="C6350">
            <v>2416.63</v>
          </cell>
        </row>
        <row r="6351">
          <cell r="B6351">
            <v>39912</v>
          </cell>
          <cell r="C6351">
            <v>2388.11</v>
          </cell>
        </row>
        <row r="6352">
          <cell r="B6352">
            <v>39913</v>
          </cell>
          <cell r="C6352">
            <v>2388.11</v>
          </cell>
        </row>
        <row r="6353">
          <cell r="B6353">
            <v>39914</v>
          </cell>
          <cell r="C6353">
            <v>2388.11</v>
          </cell>
        </row>
        <row r="6354">
          <cell r="B6354">
            <v>39915</v>
          </cell>
          <cell r="C6354">
            <v>2388.11</v>
          </cell>
        </row>
        <row r="6355">
          <cell r="B6355">
            <v>39916</v>
          </cell>
          <cell r="C6355">
            <v>2388.11</v>
          </cell>
        </row>
        <row r="6356">
          <cell r="B6356">
            <v>39917</v>
          </cell>
          <cell r="C6356">
            <v>2392.2199999999998</v>
          </cell>
        </row>
        <row r="6357">
          <cell r="B6357">
            <v>39918</v>
          </cell>
          <cell r="C6357">
            <v>2394.27</v>
          </cell>
        </row>
        <row r="6358">
          <cell r="B6358">
            <v>39919</v>
          </cell>
          <cell r="C6358">
            <v>2380.69</v>
          </cell>
        </row>
        <row r="6359">
          <cell r="B6359">
            <v>39920</v>
          </cell>
          <cell r="C6359">
            <v>2344.98</v>
          </cell>
        </row>
        <row r="6360">
          <cell r="B6360">
            <v>39921</v>
          </cell>
          <cell r="C6360">
            <v>2343.34</v>
          </cell>
        </row>
        <row r="6361">
          <cell r="B6361">
            <v>39922</v>
          </cell>
          <cell r="C6361">
            <v>2343.34</v>
          </cell>
        </row>
        <row r="6362">
          <cell r="B6362">
            <v>39923</v>
          </cell>
          <cell r="C6362">
            <v>2343.34</v>
          </cell>
        </row>
        <row r="6363">
          <cell r="B6363">
            <v>39924</v>
          </cell>
          <cell r="C6363">
            <v>2376.38</v>
          </cell>
        </row>
        <row r="6364">
          <cell r="B6364">
            <v>39925</v>
          </cell>
          <cell r="C6364">
            <v>2338.6</v>
          </cell>
        </row>
        <row r="6365">
          <cell r="B6365">
            <v>39926</v>
          </cell>
          <cell r="C6365">
            <v>2318.83</v>
          </cell>
        </row>
        <row r="6366">
          <cell r="B6366">
            <v>39927</v>
          </cell>
          <cell r="C6366">
            <v>2300.7399999999998</v>
          </cell>
        </row>
        <row r="6367">
          <cell r="B6367">
            <v>39928</v>
          </cell>
          <cell r="C6367">
            <v>2283.1999999999998</v>
          </cell>
        </row>
        <row r="6368">
          <cell r="B6368">
            <v>39929</v>
          </cell>
          <cell r="C6368">
            <v>2283.1999999999998</v>
          </cell>
        </row>
        <row r="6369">
          <cell r="B6369">
            <v>39930</v>
          </cell>
          <cell r="C6369">
            <v>2283.1999999999998</v>
          </cell>
        </row>
        <row r="6370">
          <cell r="B6370">
            <v>39931</v>
          </cell>
          <cell r="C6370">
            <v>2325.02</v>
          </cell>
        </row>
        <row r="6371">
          <cell r="B6371">
            <v>39932</v>
          </cell>
          <cell r="C6371">
            <v>2332.4699999999998</v>
          </cell>
        </row>
        <row r="6372">
          <cell r="B6372">
            <v>39933</v>
          </cell>
          <cell r="C6372">
            <v>2289.73</v>
          </cell>
        </row>
        <row r="6373">
          <cell r="B6373">
            <v>39934</v>
          </cell>
          <cell r="C6373">
            <v>2288.64</v>
          </cell>
        </row>
        <row r="6374">
          <cell r="B6374">
            <v>39935</v>
          </cell>
          <cell r="C6374">
            <v>2288.64</v>
          </cell>
        </row>
        <row r="6375">
          <cell r="B6375">
            <v>39936</v>
          </cell>
          <cell r="C6375">
            <v>2288.64</v>
          </cell>
        </row>
        <row r="6376">
          <cell r="B6376">
            <v>39937</v>
          </cell>
          <cell r="C6376">
            <v>2288.64</v>
          </cell>
        </row>
        <row r="6377">
          <cell r="B6377">
            <v>39938</v>
          </cell>
          <cell r="C6377">
            <v>2272.5500000000002</v>
          </cell>
        </row>
        <row r="6378">
          <cell r="B6378">
            <v>39939</v>
          </cell>
          <cell r="C6378">
            <v>2256.9899999999998</v>
          </cell>
        </row>
        <row r="6379">
          <cell r="B6379">
            <v>39940</v>
          </cell>
          <cell r="C6379">
            <v>2233.5</v>
          </cell>
        </row>
        <row r="6380">
          <cell r="B6380">
            <v>39941</v>
          </cell>
          <cell r="C6380">
            <v>2208.98</v>
          </cell>
        </row>
        <row r="6381">
          <cell r="B6381">
            <v>39942</v>
          </cell>
          <cell r="C6381">
            <v>2210.35</v>
          </cell>
        </row>
        <row r="6382">
          <cell r="B6382">
            <v>39943</v>
          </cell>
          <cell r="C6382">
            <v>2210.35</v>
          </cell>
        </row>
        <row r="6383">
          <cell r="B6383">
            <v>39944</v>
          </cell>
          <cell r="C6383">
            <v>2210.35</v>
          </cell>
        </row>
        <row r="6384">
          <cell r="B6384">
            <v>39945</v>
          </cell>
          <cell r="C6384">
            <v>2220.92</v>
          </cell>
        </row>
        <row r="6385">
          <cell r="B6385">
            <v>39946</v>
          </cell>
          <cell r="C6385">
            <v>2221.4</v>
          </cell>
        </row>
        <row r="6386">
          <cell r="B6386">
            <v>39947</v>
          </cell>
          <cell r="C6386">
            <v>2257.36</v>
          </cell>
        </row>
        <row r="6387">
          <cell r="B6387">
            <v>39948</v>
          </cell>
          <cell r="C6387">
            <v>2251.5300000000002</v>
          </cell>
        </row>
        <row r="6388">
          <cell r="B6388">
            <v>39949</v>
          </cell>
          <cell r="C6388">
            <v>2252.8000000000002</v>
          </cell>
        </row>
        <row r="6389">
          <cell r="B6389">
            <v>39950</v>
          </cell>
          <cell r="C6389">
            <v>2252.8000000000002</v>
          </cell>
        </row>
        <row r="6390">
          <cell r="B6390">
            <v>39951</v>
          </cell>
          <cell r="C6390">
            <v>2252.8000000000002</v>
          </cell>
        </row>
        <row r="6391">
          <cell r="B6391">
            <v>39952</v>
          </cell>
          <cell r="C6391">
            <v>2255.2199999999998</v>
          </cell>
        </row>
        <row r="6392">
          <cell r="B6392">
            <v>39953</v>
          </cell>
          <cell r="C6392">
            <v>2221.27</v>
          </cell>
        </row>
        <row r="6393">
          <cell r="B6393">
            <v>39954</v>
          </cell>
          <cell r="C6393">
            <v>2196.21</v>
          </cell>
        </row>
        <row r="6394">
          <cell r="B6394">
            <v>39955</v>
          </cell>
          <cell r="C6394">
            <v>2206.6</v>
          </cell>
        </row>
        <row r="6395">
          <cell r="B6395">
            <v>39956</v>
          </cell>
          <cell r="C6395">
            <v>2201.44</v>
          </cell>
        </row>
        <row r="6396">
          <cell r="B6396">
            <v>39957</v>
          </cell>
          <cell r="C6396">
            <v>2201.44</v>
          </cell>
        </row>
        <row r="6397">
          <cell r="B6397">
            <v>39958</v>
          </cell>
          <cell r="C6397">
            <v>2201.44</v>
          </cell>
        </row>
        <row r="6398">
          <cell r="B6398">
            <v>39959</v>
          </cell>
          <cell r="C6398">
            <v>2201.44</v>
          </cell>
        </row>
        <row r="6399">
          <cell r="B6399">
            <v>39960</v>
          </cell>
          <cell r="C6399">
            <v>2213.89</v>
          </cell>
        </row>
        <row r="6400">
          <cell r="B6400">
            <v>39961</v>
          </cell>
          <cell r="C6400">
            <v>2208.89</v>
          </cell>
        </row>
        <row r="6401">
          <cell r="B6401">
            <v>39962</v>
          </cell>
          <cell r="C6401">
            <v>2190.4499999999998</v>
          </cell>
        </row>
        <row r="6402">
          <cell r="B6402">
            <v>39963</v>
          </cell>
          <cell r="C6402">
            <v>2140.66</v>
          </cell>
        </row>
        <row r="6403">
          <cell r="B6403">
            <v>39964</v>
          </cell>
          <cell r="C6403">
            <v>2140.66</v>
          </cell>
        </row>
        <row r="6404">
          <cell r="B6404">
            <v>39965</v>
          </cell>
          <cell r="C6404">
            <v>2140.66</v>
          </cell>
        </row>
        <row r="6405">
          <cell r="B6405">
            <v>39966</v>
          </cell>
          <cell r="C6405">
            <v>2109.42</v>
          </cell>
        </row>
        <row r="6406">
          <cell r="B6406">
            <v>39967</v>
          </cell>
          <cell r="C6406">
            <v>2077.02</v>
          </cell>
        </row>
        <row r="6407">
          <cell r="B6407">
            <v>39968</v>
          </cell>
          <cell r="C6407">
            <v>2073.5500000000002</v>
          </cell>
        </row>
        <row r="6408">
          <cell r="B6408">
            <v>39969</v>
          </cell>
          <cell r="C6408">
            <v>2072</v>
          </cell>
        </row>
        <row r="6409">
          <cell r="B6409">
            <v>39970</v>
          </cell>
          <cell r="C6409">
            <v>2063.1</v>
          </cell>
        </row>
        <row r="6410">
          <cell r="B6410">
            <v>39971</v>
          </cell>
          <cell r="C6410">
            <v>2063.1</v>
          </cell>
        </row>
        <row r="6411">
          <cell r="B6411">
            <v>39972</v>
          </cell>
          <cell r="C6411">
            <v>2063.1</v>
          </cell>
        </row>
        <row r="6412">
          <cell r="B6412">
            <v>39973</v>
          </cell>
          <cell r="C6412">
            <v>2091.1</v>
          </cell>
        </row>
        <row r="6413">
          <cell r="B6413">
            <v>39974</v>
          </cell>
          <cell r="C6413">
            <v>2060.1799999999998</v>
          </cell>
        </row>
        <row r="6414">
          <cell r="B6414">
            <v>39975</v>
          </cell>
          <cell r="C6414">
            <v>2042.19</v>
          </cell>
        </row>
        <row r="6415">
          <cell r="B6415">
            <v>39976</v>
          </cell>
          <cell r="C6415">
            <v>2026.17</v>
          </cell>
        </row>
        <row r="6416">
          <cell r="B6416">
            <v>39977</v>
          </cell>
          <cell r="C6416">
            <v>2015.4</v>
          </cell>
        </row>
        <row r="6417">
          <cell r="B6417">
            <v>39978</v>
          </cell>
          <cell r="C6417">
            <v>2015.4</v>
          </cell>
        </row>
        <row r="6418">
          <cell r="B6418">
            <v>39979</v>
          </cell>
          <cell r="C6418">
            <v>2015.4</v>
          </cell>
        </row>
        <row r="6419">
          <cell r="B6419">
            <v>39980</v>
          </cell>
          <cell r="C6419">
            <v>2015.4</v>
          </cell>
        </row>
        <row r="6420">
          <cell r="B6420">
            <v>39981</v>
          </cell>
          <cell r="C6420">
            <v>2014.91</v>
          </cell>
        </row>
        <row r="6421">
          <cell r="B6421">
            <v>39982</v>
          </cell>
          <cell r="C6421">
            <v>2071.29</v>
          </cell>
        </row>
        <row r="6422">
          <cell r="B6422">
            <v>39983</v>
          </cell>
          <cell r="C6422">
            <v>2074.7199999999998</v>
          </cell>
        </row>
        <row r="6423">
          <cell r="B6423">
            <v>39984</v>
          </cell>
          <cell r="C6423">
            <v>2108.1999999999998</v>
          </cell>
        </row>
        <row r="6424">
          <cell r="B6424">
            <v>39985</v>
          </cell>
          <cell r="C6424">
            <v>2108.1999999999998</v>
          </cell>
        </row>
        <row r="6425">
          <cell r="B6425">
            <v>39986</v>
          </cell>
          <cell r="C6425">
            <v>2108.1999999999998</v>
          </cell>
        </row>
        <row r="6426">
          <cell r="B6426">
            <v>39987</v>
          </cell>
          <cell r="C6426">
            <v>2108.1999999999998</v>
          </cell>
        </row>
        <row r="6427">
          <cell r="B6427">
            <v>39988</v>
          </cell>
          <cell r="C6427">
            <v>2165</v>
          </cell>
        </row>
        <row r="6428">
          <cell r="B6428">
            <v>39989</v>
          </cell>
          <cell r="C6428">
            <v>2158.7199999999998</v>
          </cell>
        </row>
        <row r="6429">
          <cell r="B6429">
            <v>39990</v>
          </cell>
          <cell r="C6429">
            <v>2188.5</v>
          </cell>
        </row>
        <row r="6430">
          <cell r="B6430">
            <v>39991</v>
          </cell>
          <cell r="C6430">
            <v>2158.67</v>
          </cell>
        </row>
        <row r="6431">
          <cell r="B6431">
            <v>39992</v>
          </cell>
          <cell r="C6431">
            <v>2158.67</v>
          </cell>
        </row>
        <row r="6432">
          <cell r="B6432">
            <v>39993</v>
          </cell>
          <cell r="C6432">
            <v>2158.67</v>
          </cell>
        </row>
        <row r="6433">
          <cell r="B6433">
            <v>39994</v>
          </cell>
          <cell r="C6433">
            <v>2158.67</v>
          </cell>
        </row>
        <row r="6434">
          <cell r="B6434">
            <v>39995</v>
          </cell>
          <cell r="C6434">
            <v>2145.21</v>
          </cell>
        </row>
        <row r="6435">
          <cell r="B6435">
            <v>39996</v>
          </cell>
          <cell r="C6435">
            <v>2111.71</v>
          </cell>
        </row>
        <row r="6436">
          <cell r="B6436">
            <v>39997</v>
          </cell>
          <cell r="C6436">
            <v>2096.23</v>
          </cell>
        </row>
        <row r="6437">
          <cell r="B6437">
            <v>39998</v>
          </cell>
          <cell r="C6437">
            <v>2086.36</v>
          </cell>
        </row>
        <row r="6438">
          <cell r="B6438">
            <v>39999</v>
          </cell>
          <cell r="C6438">
            <v>2086.36</v>
          </cell>
        </row>
        <row r="6439">
          <cell r="B6439">
            <v>40000</v>
          </cell>
          <cell r="C6439">
            <v>2086.36</v>
          </cell>
        </row>
        <row r="6440">
          <cell r="B6440">
            <v>40001</v>
          </cell>
          <cell r="C6440">
            <v>2109.08</v>
          </cell>
        </row>
        <row r="6441">
          <cell r="B6441">
            <v>40002</v>
          </cell>
          <cell r="C6441">
            <v>2090.35</v>
          </cell>
        </row>
        <row r="6442">
          <cell r="B6442">
            <v>40003</v>
          </cell>
          <cell r="C6442">
            <v>2108.1999999999998</v>
          </cell>
        </row>
        <row r="6443">
          <cell r="B6443">
            <v>40004</v>
          </cell>
          <cell r="C6443">
            <v>2105.36</v>
          </cell>
        </row>
        <row r="6444">
          <cell r="B6444">
            <v>40005</v>
          </cell>
          <cell r="C6444">
            <v>2116.9899999999998</v>
          </cell>
        </row>
        <row r="6445">
          <cell r="B6445">
            <v>40006</v>
          </cell>
          <cell r="C6445">
            <v>2116.9899999999998</v>
          </cell>
        </row>
        <row r="6446">
          <cell r="B6446">
            <v>40007</v>
          </cell>
          <cell r="C6446">
            <v>2116.9899999999998</v>
          </cell>
        </row>
        <row r="6447">
          <cell r="B6447">
            <v>40008</v>
          </cell>
          <cell r="C6447">
            <v>2085.7399999999998</v>
          </cell>
        </row>
        <row r="6448">
          <cell r="B6448">
            <v>40009</v>
          </cell>
          <cell r="C6448">
            <v>2054.19</v>
          </cell>
        </row>
        <row r="6449">
          <cell r="B6449">
            <v>40010</v>
          </cell>
          <cell r="C6449">
            <v>2018.93</v>
          </cell>
        </row>
        <row r="6450">
          <cell r="B6450">
            <v>40011</v>
          </cell>
          <cell r="C6450">
            <v>2025.71</v>
          </cell>
        </row>
        <row r="6451">
          <cell r="B6451">
            <v>40012</v>
          </cell>
          <cell r="C6451">
            <v>2006.82</v>
          </cell>
        </row>
        <row r="6452">
          <cell r="B6452">
            <v>40013</v>
          </cell>
          <cell r="C6452">
            <v>2006.82</v>
          </cell>
        </row>
        <row r="6453">
          <cell r="B6453">
            <v>40014</v>
          </cell>
          <cell r="C6453">
            <v>2006.82</v>
          </cell>
        </row>
        <row r="6454">
          <cell r="B6454">
            <v>40015</v>
          </cell>
          <cell r="C6454">
            <v>2006.82</v>
          </cell>
        </row>
        <row r="6455">
          <cell r="B6455">
            <v>40016</v>
          </cell>
          <cell r="C6455">
            <v>1986.35</v>
          </cell>
        </row>
        <row r="6456">
          <cell r="B6456">
            <v>40017</v>
          </cell>
          <cell r="C6456">
            <v>1975.05</v>
          </cell>
        </row>
        <row r="6457">
          <cell r="B6457">
            <v>40018</v>
          </cell>
          <cell r="C6457">
            <v>1953.12</v>
          </cell>
        </row>
        <row r="6458">
          <cell r="B6458">
            <v>40019</v>
          </cell>
          <cell r="C6458">
            <v>1970.11</v>
          </cell>
        </row>
        <row r="6459">
          <cell r="B6459">
            <v>40020</v>
          </cell>
          <cell r="C6459">
            <v>1970.11</v>
          </cell>
        </row>
        <row r="6460">
          <cell r="B6460">
            <v>40021</v>
          </cell>
          <cell r="C6460">
            <v>1970.11</v>
          </cell>
        </row>
        <row r="6461">
          <cell r="B6461">
            <v>40022</v>
          </cell>
          <cell r="C6461">
            <v>1982.43</v>
          </cell>
        </row>
        <row r="6462">
          <cell r="B6462">
            <v>40023</v>
          </cell>
          <cell r="C6462">
            <v>2013.82</v>
          </cell>
        </row>
        <row r="6463">
          <cell r="B6463">
            <v>40024</v>
          </cell>
          <cell r="C6463">
            <v>2073.92</v>
          </cell>
        </row>
        <row r="6464">
          <cell r="B6464">
            <v>40025</v>
          </cell>
          <cell r="C6464">
            <v>2043.37</v>
          </cell>
        </row>
        <row r="6465">
          <cell r="B6465">
            <v>40026</v>
          </cell>
          <cell r="C6465">
            <v>2040.95</v>
          </cell>
        </row>
        <row r="6466">
          <cell r="B6466">
            <v>40027</v>
          </cell>
          <cell r="C6466">
            <v>2040.95</v>
          </cell>
        </row>
        <row r="6467">
          <cell r="B6467">
            <v>40028</v>
          </cell>
          <cell r="C6467">
            <v>2040.95</v>
          </cell>
        </row>
        <row r="6468">
          <cell r="B6468">
            <v>40029</v>
          </cell>
          <cell r="C6468">
            <v>2008.96</v>
          </cell>
        </row>
        <row r="6469">
          <cell r="B6469">
            <v>40030</v>
          </cell>
          <cell r="C6469">
            <v>1992.98</v>
          </cell>
        </row>
        <row r="6470">
          <cell r="B6470">
            <v>40031</v>
          </cell>
          <cell r="C6470">
            <v>1987.84</v>
          </cell>
        </row>
        <row r="6471">
          <cell r="B6471">
            <v>40032</v>
          </cell>
          <cell r="C6471">
            <v>1997.01</v>
          </cell>
        </row>
        <row r="6472">
          <cell r="B6472">
            <v>40033</v>
          </cell>
          <cell r="C6472">
            <v>1997.01</v>
          </cell>
        </row>
        <row r="6473">
          <cell r="B6473">
            <v>40034</v>
          </cell>
          <cell r="C6473">
            <v>1997.01</v>
          </cell>
        </row>
        <row r="6474">
          <cell r="B6474">
            <v>40035</v>
          </cell>
          <cell r="C6474">
            <v>1997.01</v>
          </cell>
        </row>
        <row r="6475">
          <cell r="B6475">
            <v>40036</v>
          </cell>
          <cell r="C6475">
            <v>2022.56</v>
          </cell>
        </row>
        <row r="6476">
          <cell r="B6476">
            <v>40037</v>
          </cell>
          <cell r="C6476">
            <v>2050.4499999999998</v>
          </cell>
        </row>
        <row r="6477">
          <cell r="B6477">
            <v>40038</v>
          </cell>
          <cell r="C6477">
            <v>2026.45</v>
          </cell>
        </row>
        <row r="6478">
          <cell r="B6478">
            <v>40039</v>
          </cell>
          <cell r="C6478">
            <v>1999.98</v>
          </cell>
        </row>
        <row r="6479">
          <cell r="B6479">
            <v>40040</v>
          </cell>
          <cell r="C6479">
            <v>2016.09</v>
          </cell>
        </row>
        <row r="6480">
          <cell r="B6480">
            <v>40041</v>
          </cell>
          <cell r="C6480">
            <v>2016.09</v>
          </cell>
        </row>
        <row r="6481">
          <cell r="B6481">
            <v>40042</v>
          </cell>
          <cell r="C6481">
            <v>2016.09</v>
          </cell>
        </row>
        <row r="6482">
          <cell r="B6482">
            <v>40043</v>
          </cell>
          <cell r="C6482">
            <v>2016.09</v>
          </cell>
        </row>
        <row r="6483">
          <cell r="B6483">
            <v>40044</v>
          </cell>
          <cell r="C6483">
            <v>2037.1</v>
          </cell>
        </row>
        <row r="6484">
          <cell r="B6484">
            <v>40045</v>
          </cell>
          <cell r="C6484">
            <v>2041.91</v>
          </cell>
        </row>
        <row r="6485">
          <cell r="B6485">
            <v>40046</v>
          </cell>
          <cell r="C6485">
            <v>2012.67</v>
          </cell>
        </row>
        <row r="6486">
          <cell r="B6486">
            <v>40047</v>
          </cell>
          <cell r="C6486">
            <v>1997.31</v>
          </cell>
        </row>
        <row r="6487">
          <cell r="B6487">
            <v>40048</v>
          </cell>
          <cell r="C6487">
            <v>1997.31</v>
          </cell>
        </row>
        <row r="6488">
          <cell r="B6488">
            <v>40049</v>
          </cell>
          <cell r="C6488">
            <v>1997.31</v>
          </cell>
        </row>
        <row r="6489">
          <cell r="B6489">
            <v>40050</v>
          </cell>
          <cell r="C6489">
            <v>1997.44</v>
          </cell>
        </row>
        <row r="6490">
          <cell r="B6490">
            <v>40051</v>
          </cell>
          <cell r="C6490">
            <v>2007.2</v>
          </cell>
        </row>
        <row r="6491">
          <cell r="B6491">
            <v>40052</v>
          </cell>
          <cell r="C6491">
            <v>2044.79</v>
          </cell>
        </row>
        <row r="6492">
          <cell r="B6492">
            <v>40053</v>
          </cell>
          <cell r="C6492">
            <v>2043.65</v>
          </cell>
        </row>
        <row r="6493">
          <cell r="B6493">
            <v>40054</v>
          </cell>
          <cell r="C6493">
            <v>2035</v>
          </cell>
        </row>
        <row r="6494">
          <cell r="B6494">
            <v>40055</v>
          </cell>
          <cell r="C6494">
            <v>2035</v>
          </cell>
        </row>
        <row r="6495">
          <cell r="B6495">
            <v>40056</v>
          </cell>
          <cell r="C6495">
            <v>2035</v>
          </cell>
        </row>
        <row r="6496">
          <cell r="B6496">
            <v>40057</v>
          </cell>
          <cell r="C6496">
            <v>2057.81</v>
          </cell>
        </row>
        <row r="6497">
          <cell r="B6497">
            <v>40058</v>
          </cell>
          <cell r="C6497">
            <v>2068.96</v>
          </cell>
        </row>
        <row r="6498">
          <cell r="B6498">
            <v>40059</v>
          </cell>
          <cell r="C6498">
            <v>2065.73</v>
          </cell>
        </row>
        <row r="6499">
          <cell r="B6499">
            <v>40060</v>
          </cell>
          <cell r="C6499">
            <v>2029.75</v>
          </cell>
        </row>
        <row r="6500">
          <cell r="B6500">
            <v>40061</v>
          </cell>
          <cell r="C6500">
            <v>2018.72</v>
          </cell>
        </row>
        <row r="6501">
          <cell r="B6501">
            <v>40062</v>
          </cell>
          <cell r="C6501">
            <v>2018.72</v>
          </cell>
        </row>
        <row r="6502">
          <cell r="B6502">
            <v>40063</v>
          </cell>
          <cell r="C6502">
            <v>2018.72</v>
          </cell>
        </row>
        <row r="6503">
          <cell r="B6503">
            <v>40064</v>
          </cell>
          <cell r="C6503">
            <v>2018.72</v>
          </cell>
        </row>
        <row r="6504">
          <cell r="B6504">
            <v>40065</v>
          </cell>
          <cell r="C6504">
            <v>1994.44</v>
          </cell>
        </row>
        <row r="6505">
          <cell r="B6505">
            <v>40066</v>
          </cell>
          <cell r="C6505">
            <v>1998.17</v>
          </cell>
        </row>
        <row r="6506">
          <cell r="B6506">
            <v>40067</v>
          </cell>
          <cell r="C6506">
            <v>2008.95</v>
          </cell>
        </row>
        <row r="6507">
          <cell r="B6507">
            <v>40068</v>
          </cell>
          <cell r="C6507">
            <v>1985.38</v>
          </cell>
        </row>
        <row r="6508">
          <cell r="B6508">
            <v>40069</v>
          </cell>
          <cell r="C6508">
            <v>1985.38</v>
          </cell>
        </row>
        <row r="6509">
          <cell r="B6509">
            <v>40070</v>
          </cell>
          <cell r="C6509">
            <v>1985.38</v>
          </cell>
        </row>
        <row r="6510">
          <cell r="B6510">
            <v>40071</v>
          </cell>
          <cell r="C6510">
            <v>1998.99</v>
          </cell>
        </row>
        <row r="6511">
          <cell r="B6511">
            <v>40072</v>
          </cell>
          <cell r="C6511">
            <v>1986.86</v>
          </cell>
        </row>
        <row r="6512">
          <cell r="B6512">
            <v>40073</v>
          </cell>
          <cell r="C6512">
            <v>1960.76</v>
          </cell>
        </row>
        <row r="6513">
          <cell r="B6513">
            <v>40074</v>
          </cell>
          <cell r="C6513">
            <v>1962.6</v>
          </cell>
        </row>
        <row r="6514">
          <cell r="B6514">
            <v>40075</v>
          </cell>
          <cell r="C6514">
            <v>1951.38</v>
          </cell>
        </row>
        <row r="6515">
          <cell r="B6515">
            <v>40076</v>
          </cell>
          <cell r="C6515">
            <v>1951.38</v>
          </cell>
        </row>
        <row r="6516">
          <cell r="B6516">
            <v>40077</v>
          </cell>
          <cell r="C6516">
            <v>1951.38</v>
          </cell>
        </row>
        <row r="6517">
          <cell r="B6517">
            <v>40078</v>
          </cell>
          <cell r="C6517">
            <v>1950.77</v>
          </cell>
        </row>
        <row r="6518">
          <cell r="B6518">
            <v>40079</v>
          </cell>
          <cell r="C6518">
            <v>1914.47</v>
          </cell>
        </row>
        <row r="6519">
          <cell r="B6519">
            <v>40080</v>
          </cell>
          <cell r="C6519">
            <v>1911.66</v>
          </cell>
        </row>
        <row r="6520">
          <cell r="B6520">
            <v>40081</v>
          </cell>
          <cell r="C6520">
            <v>1922.5</v>
          </cell>
        </row>
        <row r="6521">
          <cell r="B6521">
            <v>40082</v>
          </cell>
          <cell r="C6521">
            <v>1926.59</v>
          </cell>
        </row>
        <row r="6522">
          <cell r="B6522">
            <v>40083</v>
          </cell>
          <cell r="C6522">
            <v>1926.59</v>
          </cell>
        </row>
        <row r="6523">
          <cell r="B6523">
            <v>40084</v>
          </cell>
          <cell r="C6523">
            <v>1926.59</v>
          </cell>
        </row>
        <row r="6524">
          <cell r="B6524">
            <v>40085</v>
          </cell>
          <cell r="C6524">
            <v>1921.64</v>
          </cell>
        </row>
        <row r="6525">
          <cell r="B6525">
            <v>40086</v>
          </cell>
          <cell r="C6525">
            <v>1922</v>
          </cell>
        </row>
        <row r="6526">
          <cell r="B6526">
            <v>40087</v>
          </cell>
          <cell r="C6526">
            <v>1925.49</v>
          </cell>
        </row>
        <row r="6527">
          <cell r="B6527">
            <v>40088</v>
          </cell>
          <cell r="C6527">
            <v>1918.87</v>
          </cell>
        </row>
        <row r="6528">
          <cell r="B6528">
            <v>40089</v>
          </cell>
          <cell r="C6528">
            <v>1919.75</v>
          </cell>
        </row>
        <row r="6529">
          <cell r="B6529">
            <v>40090</v>
          </cell>
          <cell r="C6529">
            <v>1919.75</v>
          </cell>
        </row>
        <row r="6530">
          <cell r="B6530">
            <v>40091</v>
          </cell>
          <cell r="C6530">
            <v>1919.75</v>
          </cell>
        </row>
        <row r="6531">
          <cell r="B6531">
            <v>40092</v>
          </cell>
          <cell r="C6531">
            <v>1925.57</v>
          </cell>
        </row>
        <row r="6532">
          <cell r="B6532">
            <v>40093</v>
          </cell>
          <cell r="C6532">
            <v>1906.59</v>
          </cell>
        </row>
        <row r="6533">
          <cell r="B6533">
            <v>40094</v>
          </cell>
          <cell r="C6533">
            <v>1897.31</v>
          </cell>
        </row>
        <row r="6534">
          <cell r="B6534">
            <v>40095</v>
          </cell>
          <cell r="C6534">
            <v>1870.96</v>
          </cell>
        </row>
        <row r="6535">
          <cell r="B6535">
            <v>40096</v>
          </cell>
          <cell r="C6535">
            <v>1857.21</v>
          </cell>
        </row>
        <row r="6536">
          <cell r="B6536">
            <v>40097</v>
          </cell>
          <cell r="C6536">
            <v>1857.21</v>
          </cell>
        </row>
        <row r="6537">
          <cell r="B6537">
            <v>40098</v>
          </cell>
          <cell r="C6537">
            <v>1857.21</v>
          </cell>
        </row>
        <row r="6538">
          <cell r="B6538">
            <v>40099</v>
          </cell>
          <cell r="C6538">
            <v>1857.21</v>
          </cell>
        </row>
        <row r="6539">
          <cell r="B6539">
            <v>40100</v>
          </cell>
          <cell r="C6539">
            <v>1825.68</v>
          </cell>
        </row>
        <row r="6540">
          <cell r="B6540">
            <v>40101</v>
          </cell>
          <cell r="C6540">
            <v>1830.38</v>
          </cell>
        </row>
        <row r="6541">
          <cell r="B6541">
            <v>40102</v>
          </cell>
          <cell r="C6541">
            <v>1838.26</v>
          </cell>
        </row>
        <row r="6542">
          <cell r="B6542">
            <v>40103</v>
          </cell>
          <cell r="C6542">
            <v>1843.81</v>
          </cell>
        </row>
        <row r="6543">
          <cell r="B6543">
            <v>40104</v>
          </cell>
          <cell r="C6543">
            <v>1843.81</v>
          </cell>
        </row>
        <row r="6544">
          <cell r="B6544">
            <v>40105</v>
          </cell>
          <cell r="C6544">
            <v>1843.81</v>
          </cell>
        </row>
        <row r="6545">
          <cell r="B6545">
            <v>40106</v>
          </cell>
          <cell r="C6545">
            <v>1858.4</v>
          </cell>
        </row>
        <row r="6546">
          <cell r="B6546">
            <v>40107</v>
          </cell>
          <cell r="C6546">
            <v>1913.98</v>
          </cell>
        </row>
        <row r="6547">
          <cell r="B6547">
            <v>40108</v>
          </cell>
          <cell r="C6547">
            <v>1910.04</v>
          </cell>
        </row>
        <row r="6548">
          <cell r="B6548">
            <v>40109</v>
          </cell>
          <cell r="C6548">
            <v>1914.89</v>
          </cell>
        </row>
        <row r="6549">
          <cell r="B6549">
            <v>40110</v>
          </cell>
          <cell r="C6549">
            <v>1924.35</v>
          </cell>
        </row>
        <row r="6550">
          <cell r="B6550">
            <v>40111</v>
          </cell>
          <cell r="C6550">
            <v>1924.35</v>
          </cell>
        </row>
        <row r="6551">
          <cell r="B6551">
            <v>40112</v>
          </cell>
          <cell r="C6551">
            <v>1924.35</v>
          </cell>
        </row>
        <row r="6552">
          <cell r="B6552">
            <v>40113</v>
          </cell>
          <cell r="C6552">
            <v>1932.81</v>
          </cell>
        </row>
        <row r="6553">
          <cell r="B6553">
            <v>40114</v>
          </cell>
          <cell r="C6553">
            <v>1977.26</v>
          </cell>
        </row>
        <row r="6554">
          <cell r="B6554">
            <v>40115</v>
          </cell>
          <cell r="C6554">
            <v>2006.18</v>
          </cell>
        </row>
        <row r="6555">
          <cell r="B6555">
            <v>40116</v>
          </cell>
          <cell r="C6555">
            <v>2004.37</v>
          </cell>
        </row>
        <row r="6556">
          <cell r="B6556">
            <v>40117</v>
          </cell>
          <cell r="C6556">
            <v>1993.8</v>
          </cell>
        </row>
        <row r="6557">
          <cell r="B6557">
            <v>40118</v>
          </cell>
          <cell r="C6557">
            <v>1993.8</v>
          </cell>
        </row>
        <row r="6558">
          <cell r="B6558">
            <v>40119</v>
          </cell>
          <cell r="C6558">
            <v>1993.8</v>
          </cell>
        </row>
        <row r="6559">
          <cell r="B6559">
            <v>40120</v>
          </cell>
          <cell r="C6559">
            <v>1993.8</v>
          </cell>
        </row>
        <row r="6560">
          <cell r="B6560">
            <v>40121</v>
          </cell>
          <cell r="C6560">
            <v>2008.72</v>
          </cell>
        </row>
        <row r="6561">
          <cell r="B6561">
            <v>40122</v>
          </cell>
          <cell r="C6561">
            <v>1963.7</v>
          </cell>
        </row>
        <row r="6562">
          <cell r="B6562">
            <v>40123</v>
          </cell>
          <cell r="C6562">
            <v>1958.24</v>
          </cell>
        </row>
        <row r="6563">
          <cell r="B6563">
            <v>40124</v>
          </cell>
          <cell r="C6563">
            <v>1981.61</v>
          </cell>
        </row>
        <row r="6564">
          <cell r="B6564">
            <v>40125</v>
          </cell>
          <cell r="C6564">
            <v>1981.61</v>
          </cell>
        </row>
        <row r="6565">
          <cell r="B6565">
            <v>40126</v>
          </cell>
          <cell r="C6565">
            <v>1981.61</v>
          </cell>
        </row>
        <row r="6566">
          <cell r="B6566">
            <v>40127</v>
          </cell>
          <cell r="C6566">
            <v>1968.45</v>
          </cell>
        </row>
        <row r="6567">
          <cell r="B6567">
            <v>40128</v>
          </cell>
          <cell r="C6567">
            <v>1969.52</v>
          </cell>
        </row>
        <row r="6568">
          <cell r="B6568">
            <v>40129</v>
          </cell>
          <cell r="C6568">
            <v>1969.52</v>
          </cell>
        </row>
        <row r="6569">
          <cell r="B6569">
            <v>40130</v>
          </cell>
          <cell r="C6569">
            <v>1976.89</v>
          </cell>
        </row>
        <row r="6570">
          <cell r="B6570">
            <v>40131</v>
          </cell>
          <cell r="C6570">
            <v>1971.27</v>
          </cell>
        </row>
        <row r="6571">
          <cell r="B6571">
            <v>40132</v>
          </cell>
          <cell r="C6571">
            <v>1971.27</v>
          </cell>
        </row>
        <row r="6572">
          <cell r="B6572">
            <v>40133</v>
          </cell>
          <cell r="C6572">
            <v>1971.27</v>
          </cell>
        </row>
        <row r="6573">
          <cell r="B6573">
            <v>40134</v>
          </cell>
          <cell r="C6573">
            <v>1971.27</v>
          </cell>
        </row>
        <row r="6574">
          <cell r="B6574">
            <v>40135</v>
          </cell>
          <cell r="C6574">
            <v>1966.22</v>
          </cell>
        </row>
        <row r="6575">
          <cell r="B6575">
            <v>40136</v>
          </cell>
          <cell r="C6575">
            <v>1953.45</v>
          </cell>
        </row>
        <row r="6576">
          <cell r="B6576">
            <v>40137</v>
          </cell>
          <cell r="C6576">
            <v>1962.33</v>
          </cell>
        </row>
        <row r="6577">
          <cell r="B6577">
            <v>40138</v>
          </cell>
          <cell r="C6577">
            <v>1974.47</v>
          </cell>
        </row>
        <row r="6578">
          <cell r="B6578">
            <v>40139</v>
          </cell>
          <cell r="C6578">
            <v>1974.47</v>
          </cell>
        </row>
        <row r="6579">
          <cell r="B6579">
            <v>40140</v>
          </cell>
          <cell r="C6579">
            <v>1974.47</v>
          </cell>
        </row>
        <row r="6580">
          <cell r="B6580">
            <v>40141</v>
          </cell>
          <cell r="C6580">
            <v>1964.92</v>
          </cell>
        </row>
        <row r="6581">
          <cell r="B6581">
            <v>40142</v>
          </cell>
          <cell r="C6581">
            <v>1969.01</v>
          </cell>
        </row>
        <row r="6582">
          <cell r="B6582">
            <v>40143</v>
          </cell>
          <cell r="C6582">
            <v>1974.14</v>
          </cell>
        </row>
        <row r="6583">
          <cell r="B6583">
            <v>40144</v>
          </cell>
          <cell r="C6583">
            <v>1974.14</v>
          </cell>
        </row>
        <row r="6584">
          <cell r="B6584">
            <v>40145</v>
          </cell>
          <cell r="C6584">
            <v>1997.47</v>
          </cell>
        </row>
        <row r="6585">
          <cell r="B6585">
            <v>40146</v>
          </cell>
          <cell r="C6585">
            <v>1997.47</v>
          </cell>
        </row>
        <row r="6586">
          <cell r="B6586">
            <v>40147</v>
          </cell>
          <cell r="C6586">
            <v>1997.47</v>
          </cell>
        </row>
        <row r="6587">
          <cell r="B6587">
            <v>40148</v>
          </cell>
          <cell r="C6587">
            <v>1998.45</v>
          </cell>
        </row>
        <row r="6588">
          <cell r="B6588">
            <v>40149</v>
          </cell>
          <cell r="C6588">
            <v>1990.29</v>
          </cell>
        </row>
        <row r="6589">
          <cell r="B6589">
            <v>40150</v>
          </cell>
          <cell r="C6589">
            <v>1990.8</v>
          </cell>
        </row>
        <row r="6590">
          <cell r="B6590">
            <v>40151</v>
          </cell>
          <cell r="C6590">
            <v>1989.94</v>
          </cell>
        </row>
        <row r="6591">
          <cell r="B6591">
            <v>40152</v>
          </cell>
          <cell r="C6591">
            <v>2003.94</v>
          </cell>
        </row>
        <row r="6592">
          <cell r="B6592">
            <v>40153</v>
          </cell>
          <cell r="C6592">
            <v>2003.94</v>
          </cell>
        </row>
        <row r="6593">
          <cell r="B6593">
            <v>40154</v>
          </cell>
          <cell r="C6593">
            <v>2003.94</v>
          </cell>
        </row>
        <row r="6594">
          <cell r="B6594">
            <v>40155</v>
          </cell>
          <cell r="C6594">
            <v>2009.45</v>
          </cell>
        </row>
        <row r="6595">
          <cell r="B6595">
            <v>40156</v>
          </cell>
          <cell r="C6595">
            <v>2009.45</v>
          </cell>
        </row>
        <row r="6596">
          <cell r="B6596">
            <v>40157</v>
          </cell>
          <cell r="C6596">
            <v>2016.73</v>
          </cell>
        </row>
        <row r="6597">
          <cell r="B6597">
            <v>40158</v>
          </cell>
          <cell r="C6597">
            <v>2016.17</v>
          </cell>
        </row>
        <row r="6598">
          <cell r="B6598">
            <v>40159</v>
          </cell>
          <cell r="C6598">
            <v>2000.54</v>
          </cell>
        </row>
        <row r="6599">
          <cell r="B6599">
            <v>40160</v>
          </cell>
          <cell r="C6599">
            <v>2000.54</v>
          </cell>
        </row>
        <row r="6600">
          <cell r="B6600">
            <v>40161</v>
          </cell>
          <cell r="C6600">
            <v>2000.54</v>
          </cell>
        </row>
        <row r="6601">
          <cell r="B6601">
            <v>40162</v>
          </cell>
          <cell r="C6601">
            <v>1992.1</v>
          </cell>
        </row>
        <row r="6602">
          <cell r="B6602">
            <v>40163</v>
          </cell>
          <cell r="C6602">
            <v>2001.86</v>
          </cell>
        </row>
        <row r="6603">
          <cell r="B6603">
            <v>40164</v>
          </cell>
          <cell r="C6603">
            <v>2005.09</v>
          </cell>
        </row>
        <row r="6604">
          <cell r="B6604">
            <v>40165</v>
          </cell>
          <cell r="C6604">
            <v>2015.74</v>
          </cell>
        </row>
        <row r="6605">
          <cell r="B6605">
            <v>40166</v>
          </cell>
          <cell r="C6605">
            <v>2025.85</v>
          </cell>
        </row>
        <row r="6606">
          <cell r="B6606">
            <v>40167</v>
          </cell>
          <cell r="C6606">
            <v>2025.85</v>
          </cell>
        </row>
        <row r="6607">
          <cell r="B6607">
            <v>40168</v>
          </cell>
          <cell r="C6607">
            <v>2025.85</v>
          </cell>
        </row>
        <row r="6608">
          <cell r="B6608">
            <v>40169</v>
          </cell>
          <cell r="C6608">
            <v>2030.17</v>
          </cell>
        </row>
        <row r="6609">
          <cell r="B6609">
            <v>40170</v>
          </cell>
          <cell r="C6609">
            <v>2054.1</v>
          </cell>
        </row>
        <row r="6610">
          <cell r="B6610">
            <v>40171</v>
          </cell>
          <cell r="C6610">
            <v>2045.07</v>
          </cell>
        </row>
        <row r="6611">
          <cell r="B6611">
            <v>40172</v>
          </cell>
          <cell r="C6611">
            <v>2043.41</v>
          </cell>
        </row>
        <row r="6612">
          <cell r="B6612">
            <v>40173</v>
          </cell>
          <cell r="C6612">
            <v>2043.41</v>
          </cell>
        </row>
        <row r="6613">
          <cell r="B6613">
            <v>40174</v>
          </cell>
          <cell r="C6613">
            <v>2043.41</v>
          </cell>
        </row>
        <row r="6614">
          <cell r="B6614">
            <v>40175</v>
          </cell>
          <cell r="C6614">
            <v>2043.41</v>
          </cell>
        </row>
        <row r="6615">
          <cell r="B6615">
            <v>40176</v>
          </cell>
          <cell r="C6615">
            <v>2037.92</v>
          </cell>
        </row>
        <row r="6616">
          <cell r="B6616">
            <v>40177</v>
          </cell>
          <cell r="C6616">
            <v>2046.2</v>
          </cell>
        </row>
        <row r="6617">
          <cell r="B6617">
            <v>40178</v>
          </cell>
          <cell r="C6617">
            <v>2044.23</v>
          </cell>
        </row>
        <row r="6618">
          <cell r="B6618">
            <v>40179</v>
          </cell>
          <cell r="C6618">
            <v>2044.23</v>
          </cell>
        </row>
        <row r="6619">
          <cell r="B6619">
            <v>40180</v>
          </cell>
          <cell r="C6619">
            <v>2044.23</v>
          </cell>
        </row>
        <row r="6620">
          <cell r="B6620">
            <v>40181</v>
          </cell>
          <cell r="C6620">
            <v>2044.23</v>
          </cell>
        </row>
        <row r="6621">
          <cell r="B6621">
            <v>40182</v>
          </cell>
          <cell r="C6621">
            <v>2044.23</v>
          </cell>
        </row>
        <row r="6622">
          <cell r="B6622">
            <v>40183</v>
          </cell>
          <cell r="C6622">
            <v>2021.21</v>
          </cell>
        </row>
        <row r="6623">
          <cell r="B6623">
            <v>40184</v>
          </cell>
          <cell r="C6623">
            <v>1992.78</v>
          </cell>
        </row>
        <row r="6624">
          <cell r="B6624">
            <v>40185</v>
          </cell>
          <cell r="C6624">
            <v>1971.32</v>
          </cell>
        </row>
        <row r="6625">
          <cell r="B6625">
            <v>40186</v>
          </cell>
          <cell r="C6625">
            <v>1969.08</v>
          </cell>
        </row>
        <row r="6626">
          <cell r="B6626">
            <v>40187</v>
          </cell>
          <cell r="C6626">
            <v>1968.24</v>
          </cell>
        </row>
        <row r="6627">
          <cell r="B6627">
            <v>40188</v>
          </cell>
          <cell r="C6627">
            <v>1968.24</v>
          </cell>
        </row>
        <row r="6628">
          <cell r="B6628">
            <v>40189</v>
          </cell>
          <cell r="C6628">
            <v>1968.24</v>
          </cell>
        </row>
        <row r="6629">
          <cell r="B6629">
            <v>40190</v>
          </cell>
          <cell r="C6629">
            <v>1968.24</v>
          </cell>
        </row>
        <row r="6630">
          <cell r="B6630">
            <v>40191</v>
          </cell>
          <cell r="C6630">
            <v>1959.43</v>
          </cell>
        </row>
        <row r="6631">
          <cell r="B6631">
            <v>40192</v>
          </cell>
          <cell r="C6631">
            <v>1965.81</v>
          </cell>
        </row>
        <row r="6632">
          <cell r="B6632">
            <v>40193</v>
          </cell>
          <cell r="C6632">
            <v>1974.13</v>
          </cell>
        </row>
        <row r="6633">
          <cell r="B6633">
            <v>40194</v>
          </cell>
          <cell r="C6633">
            <v>1967.4</v>
          </cell>
        </row>
        <row r="6634">
          <cell r="B6634">
            <v>40195</v>
          </cell>
          <cell r="C6634">
            <v>1967.4</v>
          </cell>
        </row>
        <row r="6635">
          <cell r="B6635">
            <v>40196</v>
          </cell>
          <cell r="C6635">
            <v>1967.4</v>
          </cell>
        </row>
        <row r="6636">
          <cell r="B6636">
            <v>40197</v>
          </cell>
          <cell r="C6636">
            <v>1967.4</v>
          </cell>
        </row>
        <row r="6637">
          <cell r="B6637">
            <v>40198</v>
          </cell>
          <cell r="C6637">
            <v>1957.82</v>
          </cell>
        </row>
        <row r="6638">
          <cell r="B6638">
            <v>40199</v>
          </cell>
          <cell r="C6638">
            <v>1964.18</v>
          </cell>
        </row>
        <row r="6639">
          <cell r="B6639">
            <v>40200</v>
          </cell>
          <cell r="C6639">
            <v>1967.08</v>
          </cell>
        </row>
        <row r="6640">
          <cell r="B6640">
            <v>40201</v>
          </cell>
          <cell r="C6640">
            <v>1981.96</v>
          </cell>
        </row>
        <row r="6641">
          <cell r="B6641">
            <v>40202</v>
          </cell>
          <cell r="C6641">
            <v>1981.96</v>
          </cell>
        </row>
        <row r="6642">
          <cell r="B6642">
            <v>40203</v>
          </cell>
          <cell r="C6642">
            <v>1981.96</v>
          </cell>
        </row>
        <row r="6643">
          <cell r="B6643">
            <v>40204</v>
          </cell>
          <cell r="C6643">
            <v>1961.97</v>
          </cell>
        </row>
        <row r="6644">
          <cell r="B6644">
            <v>40205</v>
          </cell>
          <cell r="C6644">
            <v>1972.22</v>
          </cell>
        </row>
        <row r="6645">
          <cell r="B6645">
            <v>40206</v>
          </cell>
          <cell r="C6645">
            <v>1988.05</v>
          </cell>
        </row>
        <row r="6646">
          <cell r="B6646">
            <v>40207</v>
          </cell>
          <cell r="C6646">
            <v>1991.21</v>
          </cell>
        </row>
        <row r="6647">
          <cell r="B6647">
            <v>40208</v>
          </cell>
          <cell r="C6647">
            <v>1982.29</v>
          </cell>
        </row>
        <row r="6648">
          <cell r="B6648">
            <v>40209</v>
          </cell>
          <cell r="C6648">
            <v>1982.29</v>
          </cell>
        </row>
        <row r="6649">
          <cell r="B6649">
            <v>40210</v>
          </cell>
          <cell r="C6649">
            <v>1982.29</v>
          </cell>
        </row>
        <row r="6650">
          <cell r="B6650">
            <v>40211</v>
          </cell>
          <cell r="C6650">
            <v>1972.6</v>
          </cell>
        </row>
        <row r="6651">
          <cell r="B6651">
            <v>40212</v>
          </cell>
          <cell r="C6651">
            <v>1959.93</v>
          </cell>
        </row>
        <row r="6652">
          <cell r="B6652">
            <v>40213</v>
          </cell>
          <cell r="C6652">
            <v>1966.02</v>
          </cell>
        </row>
        <row r="6653">
          <cell r="B6653">
            <v>40214</v>
          </cell>
          <cell r="C6653">
            <v>1984.16</v>
          </cell>
        </row>
        <row r="6654">
          <cell r="B6654">
            <v>40215</v>
          </cell>
          <cell r="C6654">
            <v>1997.13</v>
          </cell>
        </row>
        <row r="6655">
          <cell r="B6655">
            <v>40216</v>
          </cell>
          <cell r="C6655">
            <v>1997.13</v>
          </cell>
        </row>
        <row r="6656">
          <cell r="B6656">
            <v>40217</v>
          </cell>
          <cell r="C6656">
            <v>1997.13</v>
          </cell>
        </row>
        <row r="6657">
          <cell r="B6657">
            <v>40218</v>
          </cell>
          <cell r="C6657">
            <v>2003.76</v>
          </cell>
        </row>
        <row r="6658">
          <cell r="B6658">
            <v>40219</v>
          </cell>
          <cell r="C6658">
            <v>1981.4</v>
          </cell>
        </row>
        <row r="6659">
          <cell r="B6659">
            <v>40220</v>
          </cell>
          <cell r="C6659">
            <v>1965.03</v>
          </cell>
        </row>
        <row r="6660">
          <cell r="B6660">
            <v>40221</v>
          </cell>
          <cell r="C6660">
            <v>1943.6</v>
          </cell>
        </row>
        <row r="6661">
          <cell r="B6661">
            <v>40222</v>
          </cell>
          <cell r="C6661">
            <v>1936.9</v>
          </cell>
        </row>
        <row r="6662">
          <cell r="B6662">
            <v>40223</v>
          </cell>
          <cell r="C6662">
            <v>1936.9</v>
          </cell>
        </row>
        <row r="6663">
          <cell r="B6663">
            <v>40224</v>
          </cell>
          <cell r="C6663">
            <v>1936.9</v>
          </cell>
        </row>
        <row r="6664">
          <cell r="B6664">
            <v>40225</v>
          </cell>
          <cell r="C6664">
            <v>1936.9</v>
          </cell>
        </row>
        <row r="6665">
          <cell r="B6665">
            <v>40226</v>
          </cell>
          <cell r="C6665">
            <v>1925.79</v>
          </cell>
        </row>
        <row r="6666">
          <cell r="B6666">
            <v>40227</v>
          </cell>
          <cell r="C6666">
            <v>1928.79</v>
          </cell>
        </row>
        <row r="6667">
          <cell r="B6667">
            <v>40228</v>
          </cell>
          <cell r="C6667">
            <v>1930.94</v>
          </cell>
        </row>
        <row r="6668">
          <cell r="B6668">
            <v>40229</v>
          </cell>
          <cell r="C6668">
            <v>1928.86</v>
          </cell>
        </row>
        <row r="6669">
          <cell r="B6669">
            <v>40230</v>
          </cell>
          <cell r="C6669">
            <v>1928.86</v>
          </cell>
        </row>
        <row r="6670">
          <cell r="B6670">
            <v>40231</v>
          </cell>
          <cell r="C6670">
            <v>1928.86</v>
          </cell>
        </row>
        <row r="6671">
          <cell r="B6671">
            <v>40232</v>
          </cell>
          <cell r="C6671">
            <v>1914.87</v>
          </cell>
        </row>
        <row r="6672">
          <cell r="B6672">
            <v>40233</v>
          </cell>
          <cell r="C6672">
            <v>1924.75</v>
          </cell>
        </row>
        <row r="6673">
          <cell r="B6673">
            <v>40234</v>
          </cell>
          <cell r="C6673">
            <v>1932.15</v>
          </cell>
        </row>
        <row r="6674">
          <cell r="B6674">
            <v>40235</v>
          </cell>
          <cell r="C6674">
            <v>1941.98</v>
          </cell>
        </row>
        <row r="6675">
          <cell r="B6675">
            <v>40236</v>
          </cell>
          <cell r="C6675">
            <v>1932.32</v>
          </cell>
        </row>
        <row r="6676">
          <cell r="B6676">
            <v>40237</v>
          </cell>
          <cell r="C6676">
            <v>1932.32</v>
          </cell>
        </row>
        <row r="6677">
          <cell r="B6677">
            <v>40238</v>
          </cell>
          <cell r="C6677">
            <v>1932.32</v>
          </cell>
        </row>
        <row r="6678">
          <cell r="B6678">
            <v>40239</v>
          </cell>
          <cell r="C6678">
            <v>1913.86</v>
          </cell>
        </row>
        <row r="6679">
          <cell r="B6679">
            <v>40240</v>
          </cell>
          <cell r="C6679">
            <v>1895.86</v>
          </cell>
        </row>
        <row r="6680">
          <cell r="B6680">
            <v>40241</v>
          </cell>
          <cell r="C6680">
            <v>1916.41</v>
          </cell>
        </row>
        <row r="6681">
          <cell r="B6681">
            <v>40242</v>
          </cell>
          <cell r="C6681">
            <v>1928.33</v>
          </cell>
        </row>
        <row r="6682">
          <cell r="B6682">
            <v>40243</v>
          </cell>
          <cell r="C6682">
            <v>1902.31</v>
          </cell>
        </row>
        <row r="6683">
          <cell r="B6683">
            <v>40244</v>
          </cell>
          <cell r="C6683">
            <v>1902.31</v>
          </cell>
        </row>
        <row r="6684">
          <cell r="B6684">
            <v>40245</v>
          </cell>
          <cell r="C6684">
            <v>1902.31</v>
          </cell>
        </row>
        <row r="6685">
          <cell r="B6685">
            <v>40246</v>
          </cell>
          <cell r="C6685">
            <v>1894.44</v>
          </cell>
        </row>
        <row r="6686">
          <cell r="B6686">
            <v>40247</v>
          </cell>
          <cell r="C6686">
            <v>1894.3</v>
          </cell>
        </row>
        <row r="6687">
          <cell r="B6687">
            <v>40248</v>
          </cell>
          <cell r="C6687">
            <v>1888.05</v>
          </cell>
        </row>
        <row r="6688">
          <cell r="B6688">
            <v>40249</v>
          </cell>
          <cell r="C6688">
            <v>1894.79</v>
          </cell>
        </row>
        <row r="6689">
          <cell r="B6689">
            <v>40250</v>
          </cell>
          <cell r="C6689">
            <v>1892.99</v>
          </cell>
        </row>
        <row r="6690">
          <cell r="B6690">
            <v>40251</v>
          </cell>
          <cell r="C6690">
            <v>1892.99</v>
          </cell>
        </row>
        <row r="6691">
          <cell r="B6691">
            <v>40252</v>
          </cell>
          <cell r="C6691">
            <v>1892.99</v>
          </cell>
        </row>
        <row r="6692">
          <cell r="B6692">
            <v>40253</v>
          </cell>
          <cell r="C6692">
            <v>1899.75</v>
          </cell>
        </row>
        <row r="6693">
          <cell r="B6693">
            <v>40254</v>
          </cell>
          <cell r="C6693">
            <v>1896.15</v>
          </cell>
        </row>
        <row r="6694">
          <cell r="B6694">
            <v>40255</v>
          </cell>
          <cell r="C6694">
            <v>1893.42</v>
          </cell>
        </row>
        <row r="6695">
          <cell r="B6695">
            <v>40256</v>
          </cell>
          <cell r="C6695">
            <v>1900.55</v>
          </cell>
        </row>
        <row r="6696">
          <cell r="B6696">
            <v>40257</v>
          </cell>
          <cell r="C6696">
            <v>1907.06</v>
          </cell>
        </row>
        <row r="6697">
          <cell r="B6697">
            <v>40258</v>
          </cell>
          <cell r="C6697">
            <v>1907.06</v>
          </cell>
        </row>
        <row r="6698">
          <cell r="B6698">
            <v>40259</v>
          </cell>
          <cell r="C6698">
            <v>1907.06</v>
          </cell>
        </row>
        <row r="6699">
          <cell r="B6699">
            <v>40260</v>
          </cell>
          <cell r="C6699">
            <v>1907.06</v>
          </cell>
        </row>
        <row r="6700">
          <cell r="B6700">
            <v>40261</v>
          </cell>
          <cell r="C6700">
            <v>1907.06</v>
          </cell>
        </row>
        <row r="6701">
          <cell r="B6701">
            <v>40262</v>
          </cell>
          <cell r="C6701">
            <v>1923.41</v>
          </cell>
        </row>
        <row r="6702">
          <cell r="B6702">
            <v>40263</v>
          </cell>
          <cell r="C6702">
            <v>1922.91</v>
          </cell>
        </row>
        <row r="6703">
          <cell r="B6703">
            <v>40264</v>
          </cell>
          <cell r="C6703">
            <v>1933.4</v>
          </cell>
        </row>
        <row r="6704">
          <cell r="B6704">
            <v>40265</v>
          </cell>
          <cell r="C6704">
            <v>1933.4</v>
          </cell>
        </row>
        <row r="6705">
          <cell r="B6705">
            <v>40266</v>
          </cell>
          <cell r="C6705">
            <v>1933.4</v>
          </cell>
        </row>
        <row r="6706">
          <cell r="B6706">
            <v>40267</v>
          </cell>
          <cell r="C6706">
            <v>1934.21</v>
          </cell>
        </row>
        <row r="6707">
          <cell r="B6707">
            <v>40268</v>
          </cell>
          <cell r="C6707">
            <v>1928.59</v>
          </cell>
        </row>
        <row r="6708">
          <cell r="B6708">
            <v>40269</v>
          </cell>
          <cell r="C6708">
            <v>1921.88</v>
          </cell>
        </row>
        <row r="6709">
          <cell r="B6709">
            <v>40270</v>
          </cell>
          <cell r="C6709">
            <v>1921.88</v>
          </cell>
        </row>
        <row r="6710">
          <cell r="B6710">
            <v>40271</v>
          </cell>
          <cell r="C6710">
            <v>1921.88</v>
          </cell>
        </row>
        <row r="6711">
          <cell r="B6711">
            <v>40272</v>
          </cell>
          <cell r="C6711">
            <v>1921.88</v>
          </cell>
        </row>
        <row r="6712">
          <cell r="B6712">
            <v>40273</v>
          </cell>
          <cell r="C6712">
            <v>1921.88</v>
          </cell>
        </row>
        <row r="6713">
          <cell r="B6713">
            <v>40274</v>
          </cell>
          <cell r="C6713">
            <v>1911.78</v>
          </cell>
        </row>
        <row r="6714">
          <cell r="B6714">
            <v>40275</v>
          </cell>
          <cell r="C6714">
            <v>1911.07</v>
          </cell>
        </row>
        <row r="6715">
          <cell r="B6715">
            <v>40276</v>
          </cell>
          <cell r="C6715">
            <v>1920.53</v>
          </cell>
        </row>
        <row r="6716">
          <cell r="B6716">
            <v>40277</v>
          </cell>
          <cell r="C6716">
            <v>1931.91</v>
          </cell>
        </row>
        <row r="6717">
          <cell r="B6717">
            <v>40278</v>
          </cell>
          <cell r="C6717">
            <v>1921.32</v>
          </cell>
        </row>
        <row r="6718">
          <cell r="B6718">
            <v>40279</v>
          </cell>
          <cell r="C6718">
            <v>1921.32</v>
          </cell>
        </row>
        <row r="6719">
          <cell r="B6719">
            <v>40280</v>
          </cell>
          <cell r="C6719">
            <v>1921.32</v>
          </cell>
        </row>
        <row r="6720">
          <cell r="B6720">
            <v>40281</v>
          </cell>
          <cell r="C6720">
            <v>1926.16</v>
          </cell>
        </row>
        <row r="6721">
          <cell r="B6721">
            <v>40282</v>
          </cell>
          <cell r="C6721">
            <v>1936.22</v>
          </cell>
        </row>
        <row r="6722">
          <cell r="B6722">
            <v>40283</v>
          </cell>
          <cell r="C6722">
            <v>1938.24</v>
          </cell>
        </row>
        <row r="6723">
          <cell r="B6723">
            <v>40284</v>
          </cell>
          <cell r="C6723">
            <v>1943.83</v>
          </cell>
        </row>
        <row r="6724">
          <cell r="B6724">
            <v>40285</v>
          </cell>
          <cell r="C6724">
            <v>1942.21</v>
          </cell>
        </row>
        <row r="6725">
          <cell r="B6725">
            <v>40286</v>
          </cell>
          <cell r="C6725">
            <v>1942.21</v>
          </cell>
        </row>
        <row r="6726">
          <cell r="B6726">
            <v>40287</v>
          </cell>
          <cell r="C6726">
            <v>1942.21</v>
          </cell>
        </row>
        <row r="6727">
          <cell r="B6727">
            <v>40288</v>
          </cell>
          <cell r="C6727">
            <v>1951.04</v>
          </cell>
        </row>
        <row r="6728">
          <cell r="B6728">
            <v>40289</v>
          </cell>
          <cell r="C6728">
            <v>1947.69</v>
          </cell>
        </row>
        <row r="6729">
          <cell r="B6729">
            <v>40290</v>
          </cell>
          <cell r="C6729">
            <v>1948.47</v>
          </cell>
        </row>
        <row r="6730">
          <cell r="B6730">
            <v>40291</v>
          </cell>
          <cell r="C6730">
            <v>1955.84</v>
          </cell>
        </row>
        <row r="6731">
          <cell r="B6731">
            <v>40292</v>
          </cell>
          <cell r="C6731">
            <v>1950.89</v>
          </cell>
        </row>
        <row r="6732">
          <cell r="B6732">
            <v>40293</v>
          </cell>
          <cell r="C6732">
            <v>1950.89</v>
          </cell>
        </row>
        <row r="6733">
          <cell r="B6733">
            <v>40294</v>
          </cell>
          <cell r="C6733">
            <v>1950.89</v>
          </cell>
        </row>
        <row r="6734">
          <cell r="B6734">
            <v>40295</v>
          </cell>
          <cell r="C6734">
            <v>1943.41</v>
          </cell>
        </row>
        <row r="6735">
          <cell r="B6735">
            <v>40296</v>
          </cell>
          <cell r="C6735">
            <v>1961.82</v>
          </cell>
        </row>
        <row r="6736">
          <cell r="B6736">
            <v>40297</v>
          </cell>
          <cell r="C6736">
            <v>1973.05</v>
          </cell>
        </row>
        <row r="6737">
          <cell r="B6737">
            <v>40298</v>
          </cell>
          <cell r="C6737">
            <v>1969.75</v>
          </cell>
        </row>
        <row r="6738">
          <cell r="B6738">
            <v>40299</v>
          </cell>
          <cell r="C6738">
            <v>1950.44</v>
          </cell>
        </row>
        <row r="6739">
          <cell r="B6739">
            <v>40300</v>
          </cell>
          <cell r="C6739">
            <v>1950.44</v>
          </cell>
        </row>
        <row r="6740">
          <cell r="B6740">
            <v>40301</v>
          </cell>
          <cell r="C6740">
            <v>1950.44</v>
          </cell>
        </row>
        <row r="6741">
          <cell r="B6741">
            <v>40302</v>
          </cell>
          <cell r="C6741">
            <v>1973.42</v>
          </cell>
        </row>
        <row r="6742">
          <cell r="B6742">
            <v>40303</v>
          </cell>
          <cell r="C6742">
            <v>1988.47</v>
          </cell>
        </row>
        <row r="6743">
          <cell r="B6743">
            <v>40304</v>
          </cell>
          <cell r="C6743">
            <v>2003.37</v>
          </cell>
        </row>
        <row r="6744">
          <cell r="B6744">
            <v>40305</v>
          </cell>
          <cell r="C6744">
            <v>2010.13</v>
          </cell>
        </row>
        <row r="6745">
          <cell r="B6745">
            <v>40306</v>
          </cell>
          <cell r="C6745">
            <v>2029.54</v>
          </cell>
        </row>
        <row r="6746">
          <cell r="B6746">
            <v>40307</v>
          </cell>
          <cell r="C6746">
            <v>2029.54</v>
          </cell>
        </row>
        <row r="6747">
          <cell r="B6747">
            <v>40308</v>
          </cell>
          <cell r="C6747">
            <v>2029.54</v>
          </cell>
        </row>
        <row r="6748">
          <cell r="B6748">
            <v>40309</v>
          </cell>
          <cell r="C6748">
            <v>1988.32</v>
          </cell>
        </row>
        <row r="6749">
          <cell r="B6749">
            <v>40310</v>
          </cell>
          <cell r="C6749">
            <v>1980.5</v>
          </cell>
        </row>
        <row r="6750">
          <cell r="B6750">
            <v>40311</v>
          </cell>
          <cell r="C6750">
            <v>1966.36</v>
          </cell>
        </row>
        <row r="6751">
          <cell r="B6751">
            <v>40312</v>
          </cell>
          <cell r="C6751">
            <v>1959.62</v>
          </cell>
        </row>
        <row r="6752">
          <cell r="B6752">
            <v>40313</v>
          </cell>
          <cell r="C6752">
            <v>1968.1</v>
          </cell>
        </row>
        <row r="6753">
          <cell r="B6753">
            <v>40314</v>
          </cell>
          <cell r="C6753">
            <v>1968.1</v>
          </cell>
        </row>
        <row r="6754">
          <cell r="B6754">
            <v>40315</v>
          </cell>
          <cell r="C6754">
            <v>1968.1</v>
          </cell>
        </row>
        <row r="6755">
          <cell r="B6755">
            <v>40316</v>
          </cell>
          <cell r="C6755">
            <v>1968.1</v>
          </cell>
        </row>
        <row r="6756">
          <cell r="B6756">
            <v>40317</v>
          </cell>
          <cell r="C6756">
            <v>1976.46</v>
          </cell>
        </row>
        <row r="6757">
          <cell r="B6757">
            <v>40318</v>
          </cell>
          <cell r="C6757">
            <v>1997.09</v>
          </cell>
        </row>
        <row r="6758">
          <cell r="B6758">
            <v>40319</v>
          </cell>
          <cell r="C6758">
            <v>2017.68</v>
          </cell>
        </row>
        <row r="6759">
          <cell r="B6759">
            <v>40320</v>
          </cell>
          <cell r="C6759">
            <v>1998.42</v>
          </cell>
        </row>
        <row r="6760">
          <cell r="B6760">
            <v>40321</v>
          </cell>
          <cell r="C6760">
            <v>1998.42</v>
          </cell>
        </row>
        <row r="6761">
          <cell r="B6761">
            <v>40322</v>
          </cell>
          <cell r="C6761">
            <v>1998.42</v>
          </cell>
        </row>
        <row r="6762">
          <cell r="B6762">
            <v>40323</v>
          </cell>
          <cell r="C6762">
            <v>1975.01</v>
          </cell>
        </row>
        <row r="6763">
          <cell r="B6763">
            <v>40324</v>
          </cell>
          <cell r="C6763">
            <v>1989.51</v>
          </cell>
        </row>
        <row r="6764">
          <cell r="B6764">
            <v>40325</v>
          </cell>
          <cell r="C6764">
            <v>1976.4</v>
          </cell>
        </row>
        <row r="6765">
          <cell r="B6765">
            <v>40326</v>
          </cell>
          <cell r="C6765">
            <v>1966.8</v>
          </cell>
        </row>
        <row r="6766">
          <cell r="B6766">
            <v>40327</v>
          </cell>
          <cell r="C6766">
            <v>1971.55</v>
          </cell>
        </row>
        <row r="6767">
          <cell r="B6767">
            <v>40328</v>
          </cell>
          <cell r="C6767">
            <v>1971.55</v>
          </cell>
        </row>
        <row r="6768">
          <cell r="B6768">
            <v>40329</v>
          </cell>
          <cell r="C6768">
            <v>1971.55</v>
          </cell>
        </row>
        <row r="6769">
          <cell r="B6769">
            <v>40330</v>
          </cell>
          <cell r="C6769">
            <v>1971.55</v>
          </cell>
        </row>
        <row r="6770">
          <cell r="B6770">
            <v>40331</v>
          </cell>
          <cell r="C6770">
            <v>1971.45</v>
          </cell>
        </row>
        <row r="6771">
          <cell r="B6771">
            <v>40332</v>
          </cell>
          <cell r="C6771">
            <v>1963.36</v>
          </cell>
        </row>
        <row r="6772">
          <cell r="B6772">
            <v>40333</v>
          </cell>
          <cell r="C6772">
            <v>1961.47</v>
          </cell>
        </row>
        <row r="6773">
          <cell r="B6773">
            <v>40334</v>
          </cell>
          <cell r="C6773">
            <v>1965.83</v>
          </cell>
        </row>
        <row r="6774">
          <cell r="B6774">
            <v>40335</v>
          </cell>
          <cell r="C6774">
            <v>1965.83</v>
          </cell>
        </row>
        <row r="6775">
          <cell r="B6775">
            <v>40336</v>
          </cell>
          <cell r="C6775">
            <v>1965.83</v>
          </cell>
        </row>
        <row r="6776">
          <cell r="B6776">
            <v>40337</v>
          </cell>
          <cell r="C6776">
            <v>1965.83</v>
          </cell>
        </row>
        <row r="6777">
          <cell r="B6777">
            <v>40338</v>
          </cell>
          <cell r="C6777">
            <v>1960.5</v>
          </cell>
        </row>
        <row r="6778">
          <cell r="B6778">
            <v>40339</v>
          </cell>
          <cell r="C6778">
            <v>1943.41</v>
          </cell>
        </row>
        <row r="6779">
          <cell r="B6779">
            <v>40340</v>
          </cell>
          <cell r="C6779">
            <v>1928.83</v>
          </cell>
        </row>
        <row r="6780">
          <cell r="B6780">
            <v>40341</v>
          </cell>
          <cell r="C6780">
            <v>1925.35</v>
          </cell>
        </row>
        <row r="6781">
          <cell r="B6781">
            <v>40342</v>
          </cell>
          <cell r="C6781">
            <v>1925.35</v>
          </cell>
        </row>
        <row r="6782">
          <cell r="B6782">
            <v>40343</v>
          </cell>
          <cell r="C6782">
            <v>1925.35</v>
          </cell>
        </row>
        <row r="6783">
          <cell r="B6783">
            <v>40344</v>
          </cell>
          <cell r="C6783">
            <v>1925.35</v>
          </cell>
        </row>
        <row r="6784">
          <cell r="B6784">
            <v>40345</v>
          </cell>
          <cell r="C6784">
            <v>1917.82</v>
          </cell>
        </row>
        <row r="6785">
          <cell r="B6785">
            <v>40346</v>
          </cell>
          <cell r="C6785">
            <v>1912.29</v>
          </cell>
        </row>
        <row r="6786">
          <cell r="B6786">
            <v>40347</v>
          </cell>
          <cell r="C6786">
            <v>1902.78</v>
          </cell>
        </row>
        <row r="6787">
          <cell r="B6787">
            <v>40348</v>
          </cell>
          <cell r="C6787">
            <v>1906.61</v>
          </cell>
        </row>
        <row r="6788">
          <cell r="B6788">
            <v>40349</v>
          </cell>
          <cell r="C6788">
            <v>1906.61</v>
          </cell>
        </row>
        <row r="6789">
          <cell r="B6789">
            <v>40350</v>
          </cell>
          <cell r="C6789">
            <v>1906.61</v>
          </cell>
        </row>
        <row r="6790">
          <cell r="B6790">
            <v>40351</v>
          </cell>
          <cell r="C6790">
            <v>1889.51</v>
          </cell>
        </row>
        <row r="6791">
          <cell r="B6791">
            <v>40352</v>
          </cell>
          <cell r="C6791">
            <v>1886.05</v>
          </cell>
        </row>
        <row r="6792">
          <cell r="B6792">
            <v>40353</v>
          </cell>
          <cell r="C6792">
            <v>1895.75</v>
          </cell>
        </row>
        <row r="6793">
          <cell r="B6793">
            <v>40354</v>
          </cell>
          <cell r="C6793">
            <v>1896.87</v>
          </cell>
        </row>
        <row r="6794">
          <cell r="B6794">
            <v>40355</v>
          </cell>
          <cell r="C6794">
            <v>1900.36</v>
          </cell>
        </row>
        <row r="6795">
          <cell r="B6795">
            <v>40356</v>
          </cell>
          <cell r="C6795">
            <v>1900.36</v>
          </cell>
        </row>
        <row r="6796">
          <cell r="B6796">
            <v>40357</v>
          </cell>
          <cell r="C6796">
            <v>1900.36</v>
          </cell>
        </row>
        <row r="6797">
          <cell r="B6797">
            <v>40358</v>
          </cell>
          <cell r="C6797">
            <v>1901.65</v>
          </cell>
        </row>
        <row r="6798">
          <cell r="B6798">
            <v>40359</v>
          </cell>
          <cell r="C6798">
            <v>1916.46</v>
          </cell>
        </row>
        <row r="6799">
          <cell r="B6799">
            <v>40360</v>
          </cell>
          <cell r="C6799">
            <v>1913.15</v>
          </cell>
        </row>
        <row r="6800">
          <cell r="B6800">
            <v>40361</v>
          </cell>
          <cell r="C6800">
            <v>1897.33</v>
          </cell>
        </row>
        <row r="6801">
          <cell r="B6801">
            <v>40362</v>
          </cell>
          <cell r="C6801">
            <v>1884.31</v>
          </cell>
        </row>
        <row r="6802">
          <cell r="B6802">
            <v>40363</v>
          </cell>
          <cell r="C6802">
            <v>1884.31</v>
          </cell>
        </row>
        <row r="6803">
          <cell r="B6803">
            <v>40364</v>
          </cell>
          <cell r="C6803">
            <v>1884.31</v>
          </cell>
        </row>
        <row r="6804">
          <cell r="B6804">
            <v>40365</v>
          </cell>
          <cell r="C6804">
            <v>1884.31</v>
          </cell>
        </row>
        <row r="6805">
          <cell r="B6805">
            <v>40366</v>
          </cell>
          <cell r="C6805">
            <v>1882.47</v>
          </cell>
        </row>
        <row r="6806">
          <cell r="B6806">
            <v>40367</v>
          </cell>
          <cell r="C6806">
            <v>1901.38</v>
          </cell>
        </row>
        <row r="6807">
          <cell r="B6807">
            <v>40368</v>
          </cell>
          <cell r="C6807">
            <v>1889.61</v>
          </cell>
        </row>
        <row r="6808">
          <cell r="B6808">
            <v>40369</v>
          </cell>
          <cell r="C6808">
            <v>1877.66</v>
          </cell>
        </row>
        <row r="6809">
          <cell r="B6809">
            <v>40370</v>
          </cell>
          <cell r="C6809">
            <v>1877.66</v>
          </cell>
        </row>
        <row r="6810">
          <cell r="B6810">
            <v>40371</v>
          </cell>
          <cell r="C6810">
            <v>1877.66</v>
          </cell>
        </row>
        <row r="6811">
          <cell r="B6811">
            <v>40372</v>
          </cell>
          <cell r="C6811">
            <v>1877.2</v>
          </cell>
        </row>
        <row r="6812">
          <cell r="B6812">
            <v>40373</v>
          </cell>
          <cell r="C6812">
            <v>1871.19</v>
          </cell>
        </row>
        <row r="6813">
          <cell r="B6813">
            <v>40374</v>
          </cell>
          <cell r="C6813">
            <v>1873.87</v>
          </cell>
        </row>
        <row r="6814">
          <cell r="B6814">
            <v>40375</v>
          </cell>
          <cell r="C6814">
            <v>1871.96</v>
          </cell>
        </row>
        <row r="6815">
          <cell r="B6815">
            <v>40376</v>
          </cell>
          <cell r="C6815">
            <v>1878.77</v>
          </cell>
        </row>
        <row r="6816">
          <cell r="B6816">
            <v>40377</v>
          </cell>
          <cell r="C6816">
            <v>1878.77</v>
          </cell>
        </row>
        <row r="6817">
          <cell r="B6817">
            <v>40378</v>
          </cell>
          <cell r="C6817">
            <v>1878.77</v>
          </cell>
        </row>
        <row r="6818">
          <cell r="B6818">
            <v>40379</v>
          </cell>
          <cell r="C6818">
            <v>1872.92</v>
          </cell>
        </row>
        <row r="6819">
          <cell r="B6819">
            <v>40380</v>
          </cell>
          <cell r="C6819">
            <v>1872.92</v>
          </cell>
        </row>
        <row r="6820">
          <cell r="B6820">
            <v>40381</v>
          </cell>
          <cell r="C6820">
            <v>1867.07</v>
          </cell>
        </row>
        <row r="6821">
          <cell r="B6821">
            <v>40382</v>
          </cell>
          <cell r="C6821">
            <v>1864.04</v>
          </cell>
        </row>
        <row r="6822">
          <cell r="B6822">
            <v>40383</v>
          </cell>
          <cell r="C6822">
            <v>1867.47</v>
          </cell>
        </row>
        <row r="6823">
          <cell r="B6823">
            <v>40384</v>
          </cell>
          <cell r="C6823">
            <v>1867.47</v>
          </cell>
        </row>
        <row r="6824">
          <cell r="B6824">
            <v>40385</v>
          </cell>
          <cell r="C6824">
            <v>1867.47</v>
          </cell>
        </row>
        <row r="6825">
          <cell r="B6825">
            <v>40386</v>
          </cell>
          <cell r="C6825">
            <v>1859.5</v>
          </cell>
        </row>
        <row r="6826">
          <cell r="B6826">
            <v>40387</v>
          </cell>
          <cell r="C6826">
            <v>1852.83</v>
          </cell>
        </row>
        <row r="6827">
          <cell r="B6827">
            <v>40388</v>
          </cell>
          <cell r="C6827">
            <v>1846.23</v>
          </cell>
        </row>
        <row r="6828">
          <cell r="B6828">
            <v>40389</v>
          </cell>
          <cell r="C6828">
            <v>1841.35</v>
          </cell>
        </row>
        <row r="6829">
          <cell r="B6829">
            <v>40390</v>
          </cell>
          <cell r="C6829">
            <v>1842.79</v>
          </cell>
        </row>
        <row r="6830">
          <cell r="B6830">
            <v>40391</v>
          </cell>
          <cell r="C6830">
            <v>1842.79</v>
          </cell>
        </row>
        <row r="6831">
          <cell r="B6831">
            <v>40392</v>
          </cell>
          <cell r="C6831">
            <v>1842.79</v>
          </cell>
        </row>
        <row r="6832">
          <cell r="B6832">
            <v>40393</v>
          </cell>
          <cell r="C6832">
            <v>1832.45</v>
          </cell>
        </row>
        <row r="6833">
          <cell r="B6833">
            <v>40394</v>
          </cell>
          <cell r="C6833">
            <v>1834.58</v>
          </cell>
        </row>
        <row r="6834">
          <cell r="B6834">
            <v>40395</v>
          </cell>
          <cell r="C6834">
            <v>1824.52</v>
          </cell>
        </row>
        <row r="6835">
          <cell r="B6835">
            <v>40396</v>
          </cell>
          <cell r="C6835">
            <v>1818.5</v>
          </cell>
        </row>
        <row r="6836">
          <cell r="B6836">
            <v>40397</v>
          </cell>
          <cell r="C6836">
            <v>1815.46</v>
          </cell>
        </row>
        <row r="6837">
          <cell r="B6837">
            <v>40398</v>
          </cell>
          <cell r="C6837">
            <v>1815.46</v>
          </cell>
        </row>
        <row r="6838">
          <cell r="B6838">
            <v>40399</v>
          </cell>
          <cell r="C6838">
            <v>1815.46</v>
          </cell>
        </row>
        <row r="6839">
          <cell r="B6839">
            <v>40400</v>
          </cell>
          <cell r="C6839">
            <v>1808.93</v>
          </cell>
        </row>
        <row r="6840">
          <cell r="B6840">
            <v>40401</v>
          </cell>
          <cell r="C6840">
            <v>1810.12</v>
          </cell>
        </row>
        <row r="6841">
          <cell r="B6841">
            <v>40402</v>
          </cell>
          <cell r="C6841">
            <v>1807.55</v>
          </cell>
        </row>
        <row r="6842">
          <cell r="B6842">
            <v>40403</v>
          </cell>
          <cell r="C6842">
            <v>1812.2</v>
          </cell>
        </row>
        <row r="6843">
          <cell r="B6843">
            <v>40404</v>
          </cell>
          <cell r="C6843">
            <v>1835.32</v>
          </cell>
        </row>
        <row r="6844">
          <cell r="B6844">
            <v>40405</v>
          </cell>
          <cell r="C6844">
            <v>1835.32</v>
          </cell>
        </row>
        <row r="6845">
          <cell r="B6845">
            <v>40406</v>
          </cell>
          <cell r="C6845">
            <v>1835.32</v>
          </cell>
        </row>
        <row r="6846">
          <cell r="B6846">
            <v>40407</v>
          </cell>
          <cell r="C6846">
            <v>1835.32</v>
          </cell>
        </row>
        <row r="6847">
          <cell r="B6847">
            <v>40408</v>
          </cell>
          <cell r="C6847">
            <v>1810.75</v>
          </cell>
        </row>
        <row r="6848">
          <cell r="B6848">
            <v>40409</v>
          </cell>
          <cell r="C6848">
            <v>1808.14</v>
          </cell>
        </row>
        <row r="6849">
          <cell r="B6849">
            <v>40410</v>
          </cell>
          <cell r="C6849">
            <v>1819.13</v>
          </cell>
        </row>
        <row r="6850">
          <cell r="B6850">
            <v>40411</v>
          </cell>
          <cell r="C6850">
            <v>1820.93</v>
          </cell>
        </row>
        <row r="6851">
          <cell r="B6851">
            <v>40412</v>
          </cell>
          <cell r="C6851">
            <v>1820.93</v>
          </cell>
        </row>
        <row r="6852">
          <cell r="B6852">
            <v>40413</v>
          </cell>
          <cell r="C6852">
            <v>1820.93</v>
          </cell>
        </row>
        <row r="6853">
          <cell r="B6853">
            <v>40414</v>
          </cell>
          <cell r="C6853">
            <v>1806.93</v>
          </cell>
        </row>
        <row r="6854">
          <cell r="B6854">
            <v>40415</v>
          </cell>
          <cell r="C6854">
            <v>1818.86</v>
          </cell>
        </row>
        <row r="6855">
          <cell r="B6855">
            <v>40416</v>
          </cell>
          <cell r="C6855">
            <v>1820.29</v>
          </cell>
        </row>
        <row r="6856">
          <cell r="B6856">
            <v>40417</v>
          </cell>
          <cell r="C6856">
            <v>1811.46</v>
          </cell>
        </row>
        <row r="6857">
          <cell r="B6857">
            <v>40418</v>
          </cell>
          <cell r="C6857">
            <v>1817.68</v>
          </cell>
        </row>
        <row r="6858">
          <cell r="B6858">
            <v>40419</v>
          </cell>
          <cell r="C6858">
            <v>1817.68</v>
          </cell>
        </row>
        <row r="6859">
          <cell r="B6859">
            <v>40420</v>
          </cell>
          <cell r="C6859">
            <v>1817.68</v>
          </cell>
        </row>
        <row r="6860">
          <cell r="B6860">
            <v>40421</v>
          </cell>
          <cell r="C6860">
            <v>1823.74</v>
          </cell>
        </row>
        <row r="6861">
          <cell r="B6861">
            <v>40422</v>
          </cell>
          <cell r="C6861">
            <v>1826.31</v>
          </cell>
        </row>
        <row r="6862">
          <cell r="B6862">
            <v>40423</v>
          </cell>
          <cell r="C6862">
            <v>1815.09</v>
          </cell>
        </row>
        <row r="6863">
          <cell r="B6863">
            <v>40424</v>
          </cell>
          <cell r="C6863">
            <v>1810.65</v>
          </cell>
        </row>
        <row r="6864">
          <cell r="B6864">
            <v>40425</v>
          </cell>
          <cell r="C6864">
            <v>1807.73</v>
          </cell>
        </row>
        <row r="6865">
          <cell r="B6865">
            <v>40426</v>
          </cell>
          <cell r="C6865">
            <v>1807.73</v>
          </cell>
        </row>
        <row r="6866">
          <cell r="B6866">
            <v>40427</v>
          </cell>
          <cell r="C6866">
            <v>1807.73</v>
          </cell>
        </row>
        <row r="6867">
          <cell r="B6867">
            <v>40428</v>
          </cell>
          <cell r="C6867">
            <v>1807.73</v>
          </cell>
        </row>
        <row r="6868">
          <cell r="B6868">
            <v>40429</v>
          </cell>
          <cell r="C6868">
            <v>1808.65</v>
          </cell>
        </row>
        <row r="6869">
          <cell r="B6869">
            <v>40430</v>
          </cell>
          <cell r="C6869">
            <v>1803</v>
          </cell>
        </row>
        <row r="6870">
          <cell r="B6870">
            <v>40431</v>
          </cell>
          <cell r="C6870">
            <v>1802.54</v>
          </cell>
        </row>
        <row r="6871">
          <cell r="B6871">
            <v>40432</v>
          </cell>
          <cell r="C6871">
            <v>1801.04</v>
          </cell>
        </row>
        <row r="6872">
          <cell r="B6872">
            <v>40433</v>
          </cell>
          <cell r="C6872">
            <v>1801.04</v>
          </cell>
        </row>
        <row r="6873">
          <cell r="B6873">
            <v>40434</v>
          </cell>
          <cell r="C6873">
            <v>1801.04</v>
          </cell>
        </row>
        <row r="6874">
          <cell r="B6874">
            <v>40435</v>
          </cell>
          <cell r="C6874">
            <v>1793.28</v>
          </cell>
        </row>
        <row r="6875">
          <cell r="B6875">
            <v>40436</v>
          </cell>
          <cell r="C6875">
            <v>1788.05</v>
          </cell>
        </row>
        <row r="6876">
          <cell r="B6876">
            <v>40437</v>
          </cell>
          <cell r="C6876">
            <v>1806.78</v>
          </cell>
        </row>
        <row r="6877">
          <cell r="B6877">
            <v>40438</v>
          </cell>
          <cell r="C6877">
            <v>1811.55</v>
          </cell>
        </row>
        <row r="6878">
          <cell r="B6878">
            <v>40439</v>
          </cell>
          <cell r="C6878">
            <v>1806.76</v>
          </cell>
        </row>
        <row r="6879">
          <cell r="B6879">
            <v>40440</v>
          </cell>
          <cell r="C6879">
            <v>1806.76</v>
          </cell>
        </row>
        <row r="6880">
          <cell r="B6880">
            <v>40441</v>
          </cell>
          <cell r="C6880">
            <v>1806.76</v>
          </cell>
        </row>
        <row r="6881">
          <cell r="B6881">
            <v>40442</v>
          </cell>
          <cell r="C6881">
            <v>1798.73</v>
          </cell>
        </row>
        <row r="6882">
          <cell r="B6882">
            <v>40443</v>
          </cell>
          <cell r="C6882">
            <v>1805.31</v>
          </cell>
        </row>
        <row r="6883">
          <cell r="B6883">
            <v>40444</v>
          </cell>
          <cell r="C6883">
            <v>1803.71</v>
          </cell>
        </row>
        <row r="6884">
          <cell r="B6884">
            <v>40445</v>
          </cell>
          <cell r="C6884">
            <v>1810.72</v>
          </cell>
        </row>
        <row r="6885">
          <cell r="B6885">
            <v>40446</v>
          </cell>
          <cell r="C6885">
            <v>1809.46</v>
          </cell>
        </row>
        <row r="6886">
          <cell r="B6886">
            <v>40447</v>
          </cell>
          <cell r="C6886">
            <v>1809.46</v>
          </cell>
        </row>
        <row r="6887">
          <cell r="B6887">
            <v>40448</v>
          </cell>
          <cell r="C6887">
            <v>1809.46</v>
          </cell>
        </row>
        <row r="6888">
          <cell r="B6888">
            <v>40449</v>
          </cell>
          <cell r="C6888">
            <v>1802.15</v>
          </cell>
        </row>
        <row r="6889">
          <cell r="B6889">
            <v>40450</v>
          </cell>
          <cell r="C6889">
            <v>1804.06</v>
          </cell>
        </row>
        <row r="6890">
          <cell r="B6890">
            <v>40451</v>
          </cell>
          <cell r="C6890">
            <v>1799.89</v>
          </cell>
        </row>
        <row r="6891">
          <cell r="B6891">
            <v>40452</v>
          </cell>
          <cell r="C6891">
            <v>1801.01</v>
          </cell>
        </row>
        <row r="6892">
          <cell r="B6892">
            <v>40453</v>
          </cell>
          <cell r="C6892">
            <v>1795.93</v>
          </cell>
        </row>
        <row r="6893">
          <cell r="B6893">
            <v>40454</v>
          </cell>
          <cell r="C6893">
            <v>1795.93</v>
          </cell>
        </row>
        <row r="6894">
          <cell r="B6894">
            <v>40455</v>
          </cell>
          <cell r="C6894">
            <v>1795.93</v>
          </cell>
        </row>
        <row r="6895">
          <cell r="B6895">
            <v>40456</v>
          </cell>
          <cell r="C6895">
            <v>1802.09</v>
          </cell>
        </row>
        <row r="6896">
          <cell r="B6896">
            <v>40457</v>
          </cell>
          <cell r="C6896">
            <v>1802.43</v>
          </cell>
        </row>
        <row r="6897">
          <cell r="B6897">
            <v>40458</v>
          </cell>
          <cell r="C6897">
            <v>1796.29</v>
          </cell>
        </row>
        <row r="6898">
          <cell r="B6898">
            <v>40459</v>
          </cell>
          <cell r="C6898">
            <v>1786.2</v>
          </cell>
        </row>
        <row r="6899">
          <cell r="B6899">
            <v>40460</v>
          </cell>
          <cell r="C6899">
            <v>1786.37</v>
          </cell>
        </row>
        <row r="6900">
          <cell r="B6900">
            <v>40461</v>
          </cell>
          <cell r="C6900">
            <v>1786.37</v>
          </cell>
        </row>
        <row r="6901">
          <cell r="B6901">
            <v>40462</v>
          </cell>
          <cell r="C6901">
            <v>1786.37</v>
          </cell>
        </row>
        <row r="6902">
          <cell r="B6902">
            <v>40463</v>
          </cell>
          <cell r="C6902">
            <v>1786.37</v>
          </cell>
        </row>
        <row r="6903">
          <cell r="B6903">
            <v>40464</v>
          </cell>
          <cell r="C6903">
            <v>1786.77</v>
          </cell>
        </row>
        <row r="6904">
          <cell r="B6904">
            <v>40465</v>
          </cell>
          <cell r="C6904">
            <v>1791.56</v>
          </cell>
        </row>
        <row r="6905">
          <cell r="B6905">
            <v>40466</v>
          </cell>
          <cell r="C6905">
            <v>1801.2</v>
          </cell>
        </row>
        <row r="6906">
          <cell r="B6906">
            <v>40467</v>
          </cell>
          <cell r="C6906">
            <v>1807.88</v>
          </cell>
        </row>
        <row r="6907">
          <cell r="B6907">
            <v>40468</v>
          </cell>
          <cell r="C6907">
            <v>1807.88</v>
          </cell>
        </row>
        <row r="6908">
          <cell r="B6908">
            <v>40469</v>
          </cell>
          <cell r="C6908">
            <v>1807.88</v>
          </cell>
        </row>
        <row r="6909">
          <cell r="B6909">
            <v>40470</v>
          </cell>
          <cell r="C6909">
            <v>1807.88</v>
          </cell>
        </row>
        <row r="6910">
          <cell r="B6910">
            <v>40471</v>
          </cell>
          <cell r="C6910">
            <v>1817.45</v>
          </cell>
        </row>
        <row r="6911">
          <cell r="B6911">
            <v>40472</v>
          </cell>
          <cell r="C6911">
            <v>1812.6</v>
          </cell>
        </row>
        <row r="6912">
          <cell r="B6912">
            <v>40473</v>
          </cell>
          <cell r="C6912">
            <v>1816.28</v>
          </cell>
        </row>
        <row r="6913">
          <cell r="B6913">
            <v>40474</v>
          </cell>
          <cell r="C6913">
            <v>1823.05</v>
          </cell>
        </row>
        <row r="6914">
          <cell r="B6914">
            <v>40475</v>
          </cell>
          <cell r="C6914">
            <v>1823.05</v>
          </cell>
        </row>
        <row r="6915">
          <cell r="B6915">
            <v>40476</v>
          </cell>
          <cell r="C6915">
            <v>1823.05</v>
          </cell>
        </row>
        <row r="6916">
          <cell r="B6916">
            <v>40477</v>
          </cell>
          <cell r="C6916">
            <v>1830.96</v>
          </cell>
        </row>
        <row r="6917">
          <cell r="B6917">
            <v>40478</v>
          </cell>
          <cell r="C6917">
            <v>1838.45</v>
          </cell>
        </row>
        <row r="6918">
          <cell r="B6918">
            <v>40479</v>
          </cell>
          <cell r="C6918">
            <v>1846.41</v>
          </cell>
        </row>
        <row r="6919">
          <cell r="B6919">
            <v>40480</v>
          </cell>
          <cell r="C6919">
            <v>1839.9</v>
          </cell>
        </row>
        <row r="6920">
          <cell r="B6920">
            <v>40481</v>
          </cell>
          <cell r="C6920">
            <v>1831.64</v>
          </cell>
        </row>
        <row r="6921">
          <cell r="B6921">
            <v>40482</v>
          </cell>
          <cell r="C6921">
            <v>1831.64</v>
          </cell>
        </row>
        <row r="6922">
          <cell r="B6922">
            <v>40483</v>
          </cell>
          <cell r="C6922">
            <v>1831.64</v>
          </cell>
        </row>
        <row r="6923">
          <cell r="B6923">
            <v>40484</v>
          </cell>
          <cell r="C6923">
            <v>1831.64</v>
          </cell>
        </row>
        <row r="6924">
          <cell r="B6924">
            <v>40485</v>
          </cell>
          <cell r="C6924">
            <v>1845.51</v>
          </cell>
        </row>
        <row r="6925">
          <cell r="B6925">
            <v>40486</v>
          </cell>
          <cell r="C6925">
            <v>1840.51</v>
          </cell>
        </row>
        <row r="6926">
          <cell r="B6926">
            <v>40487</v>
          </cell>
          <cell r="C6926">
            <v>1821.05</v>
          </cell>
        </row>
        <row r="6927">
          <cell r="B6927">
            <v>40488</v>
          </cell>
          <cell r="C6927">
            <v>1817.7</v>
          </cell>
        </row>
        <row r="6928">
          <cell r="B6928">
            <v>40489</v>
          </cell>
          <cell r="C6928">
            <v>1817.7</v>
          </cell>
        </row>
        <row r="6929">
          <cell r="B6929">
            <v>40490</v>
          </cell>
          <cell r="C6929">
            <v>1817.7</v>
          </cell>
        </row>
        <row r="6930">
          <cell r="B6930">
            <v>40491</v>
          </cell>
          <cell r="C6930">
            <v>1828.28</v>
          </cell>
        </row>
        <row r="6931">
          <cell r="B6931">
            <v>40492</v>
          </cell>
          <cell r="C6931">
            <v>1836.27</v>
          </cell>
        </row>
        <row r="6932">
          <cell r="B6932">
            <v>40493</v>
          </cell>
          <cell r="C6932">
            <v>1858.01</v>
          </cell>
        </row>
        <row r="6933">
          <cell r="B6933">
            <v>40494</v>
          </cell>
          <cell r="C6933">
            <v>1858.01</v>
          </cell>
        </row>
        <row r="6934">
          <cell r="B6934">
            <v>40495</v>
          </cell>
          <cell r="C6934">
            <v>1861.74</v>
          </cell>
        </row>
        <row r="6935">
          <cell r="B6935">
            <v>40496</v>
          </cell>
          <cell r="C6935">
            <v>1861.74</v>
          </cell>
        </row>
        <row r="6936">
          <cell r="B6936">
            <v>40497</v>
          </cell>
          <cell r="C6936">
            <v>1861.74</v>
          </cell>
        </row>
        <row r="6937">
          <cell r="B6937">
            <v>40498</v>
          </cell>
          <cell r="C6937">
            <v>1861.74</v>
          </cell>
        </row>
        <row r="6938">
          <cell r="B6938">
            <v>40499</v>
          </cell>
          <cell r="C6938">
            <v>1880.98</v>
          </cell>
        </row>
        <row r="6939">
          <cell r="B6939">
            <v>40500</v>
          </cell>
          <cell r="C6939">
            <v>1875.78</v>
          </cell>
        </row>
        <row r="6940">
          <cell r="B6940">
            <v>40501</v>
          </cell>
          <cell r="C6940">
            <v>1865.82</v>
          </cell>
        </row>
        <row r="6941">
          <cell r="B6941">
            <v>40502</v>
          </cell>
          <cell r="C6941">
            <v>1875.39</v>
          </cell>
        </row>
        <row r="6942">
          <cell r="B6942">
            <v>40503</v>
          </cell>
          <cell r="C6942">
            <v>1875.39</v>
          </cell>
        </row>
        <row r="6943">
          <cell r="B6943">
            <v>40504</v>
          </cell>
          <cell r="C6943">
            <v>1875.39</v>
          </cell>
        </row>
        <row r="6944">
          <cell r="B6944">
            <v>40505</v>
          </cell>
          <cell r="C6944">
            <v>1882</v>
          </cell>
        </row>
        <row r="6945">
          <cell r="B6945">
            <v>40506</v>
          </cell>
          <cell r="C6945">
            <v>1892.84</v>
          </cell>
        </row>
        <row r="6946">
          <cell r="B6946">
            <v>40507</v>
          </cell>
          <cell r="C6946">
            <v>1889.11</v>
          </cell>
        </row>
        <row r="6947">
          <cell r="B6947">
            <v>40508</v>
          </cell>
          <cell r="C6947">
            <v>1889.11</v>
          </cell>
        </row>
        <row r="6948">
          <cell r="B6948">
            <v>40509</v>
          </cell>
          <cell r="C6948">
            <v>1906.69</v>
          </cell>
        </row>
        <row r="6949">
          <cell r="B6949">
            <v>40510</v>
          </cell>
          <cell r="C6949">
            <v>1906.69</v>
          </cell>
        </row>
        <row r="6950">
          <cell r="B6950">
            <v>40511</v>
          </cell>
          <cell r="C6950">
            <v>1906.69</v>
          </cell>
        </row>
        <row r="6951">
          <cell r="B6951">
            <v>40512</v>
          </cell>
          <cell r="C6951">
            <v>1916.96</v>
          </cell>
        </row>
        <row r="6952">
          <cell r="B6952">
            <v>40513</v>
          </cell>
          <cell r="C6952">
            <v>1932.63</v>
          </cell>
        </row>
        <row r="6953">
          <cell r="B6953">
            <v>40514</v>
          </cell>
          <cell r="C6953">
            <v>1933.58</v>
          </cell>
        </row>
        <row r="6954">
          <cell r="B6954">
            <v>40515</v>
          </cell>
          <cell r="C6954">
            <v>1920</v>
          </cell>
        </row>
        <row r="6955">
          <cell r="B6955">
            <v>40516</v>
          </cell>
          <cell r="C6955">
            <v>1896.73</v>
          </cell>
        </row>
        <row r="6956">
          <cell r="B6956">
            <v>40517</v>
          </cell>
          <cell r="C6956">
            <v>1896.73</v>
          </cell>
        </row>
        <row r="6957">
          <cell r="B6957">
            <v>40518</v>
          </cell>
          <cell r="C6957">
            <v>1896.73</v>
          </cell>
        </row>
        <row r="6958">
          <cell r="B6958">
            <v>40519</v>
          </cell>
          <cell r="C6958">
            <v>1889.75</v>
          </cell>
        </row>
        <row r="6959">
          <cell r="B6959">
            <v>40520</v>
          </cell>
          <cell r="C6959">
            <v>1880.82</v>
          </cell>
        </row>
        <row r="6960">
          <cell r="B6960">
            <v>40521</v>
          </cell>
          <cell r="C6960">
            <v>1880.82</v>
          </cell>
        </row>
        <row r="6961">
          <cell r="B6961">
            <v>40522</v>
          </cell>
          <cell r="C6961">
            <v>1902.72</v>
          </cell>
        </row>
        <row r="6962">
          <cell r="B6962">
            <v>40523</v>
          </cell>
          <cell r="C6962">
            <v>1911.87</v>
          </cell>
        </row>
        <row r="6963">
          <cell r="B6963">
            <v>40524</v>
          </cell>
          <cell r="C6963">
            <v>1911.87</v>
          </cell>
        </row>
        <row r="6964">
          <cell r="B6964">
            <v>40525</v>
          </cell>
          <cell r="C6964">
            <v>1911.87</v>
          </cell>
        </row>
        <row r="6965">
          <cell r="B6965">
            <v>40526</v>
          </cell>
          <cell r="C6965">
            <v>1894.12</v>
          </cell>
        </row>
        <row r="6966">
          <cell r="B6966">
            <v>40527</v>
          </cell>
          <cell r="C6966">
            <v>1899.89</v>
          </cell>
        </row>
        <row r="6967">
          <cell r="B6967">
            <v>40528</v>
          </cell>
          <cell r="C6967">
            <v>1905.84</v>
          </cell>
        </row>
        <row r="6968">
          <cell r="B6968">
            <v>40529</v>
          </cell>
          <cell r="C6968">
            <v>1916.09</v>
          </cell>
        </row>
        <row r="6969">
          <cell r="B6969">
            <v>40530</v>
          </cell>
          <cell r="C6969">
            <v>1923.13</v>
          </cell>
        </row>
        <row r="6970">
          <cell r="B6970">
            <v>40531</v>
          </cell>
          <cell r="C6970">
            <v>1923.13</v>
          </cell>
        </row>
        <row r="6971">
          <cell r="B6971">
            <v>40532</v>
          </cell>
          <cell r="C6971">
            <v>1923.13</v>
          </cell>
        </row>
        <row r="6972">
          <cell r="B6972">
            <v>40533</v>
          </cell>
          <cell r="C6972">
            <v>1928.71</v>
          </cell>
        </row>
        <row r="6973">
          <cell r="B6973">
            <v>40534</v>
          </cell>
          <cell r="C6973">
            <v>1934.96</v>
          </cell>
        </row>
        <row r="6974">
          <cell r="B6974">
            <v>40535</v>
          </cell>
          <cell r="C6974">
            <v>1934.44</v>
          </cell>
        </row>
        <row r="6975">
          <cell r="B6975">
            <v>40536</v>
          </cell>
          <cell r="C6975">
            <v>1928.33</v>
          </cell>
        </row>
        <row r="6976">
          <cell r="B6976">
            <v>40537</v>
          </cell>
          <cell r="C6976">
            <v>1939.54</v>
          </cell>
        </row>
        <row r="6977">
          <cell r="B6977">
            <v>40538</v>
          </cell>
          <cell r="C6977">
            <v>1939.54</v>
          </cell>
        </row>
        <row r="6978">
          <cell r="B6978">
            <v>40539</v>
          </cell>
          <cell r="C6978">
            <v>1939.54</v>
          </cell>
        </row>
        <row r="6979">
          <cell r="B6979">
            <v>40540</v>
          </cell>
          <cell r="C6979">
            <v>1964.57</v>
          </cell>
        </row>
        <row r="6980">
          <cell r="B6980">
            <v>40541</v>
          </cell>
          <cell r="C6980">
            <v>2027.33</v>
          </cell>
        </row>
        <row r="6981">
          <cell r="B6981">
            <v>40542</v>
          </cell>
          <cell r="C6981">
            <v>1989.88</v>
          </cell>
        </row>
        <row r="6982">
          <cell r="B6982">
            <v>40543</v>
          </cell>
          <cell r="C6982">
            <v>1913.98</v>
          </cell>
        </row>
        <row r="6983">
          <cell r="B6983">
            <v>40544</v>
          </cell>
          <cell r="C6983">
            <v>1913.98</v>
          </cell>
        </row>
        <row r="6984">
          <cell r="B6984">
            <v>40545</v>
          </cell>
          <cell r="C6984">
            <v>1913.98</v>
          </cell>
        </row>
        <row r="6985">
          <cell r="B6985">
            <v>40546</v>
          </cell>
          <cell r="C6985">
            <v>1913.98</v>
          </cell>
        </row>
        <row r="6986">
          <cell r="B6986">
            <v>40547</v>
          </cell>
          <cell r="C6986">
            <v>1902.71</v>
          </cell>
        </row>
        <row r="6987">
          <cell r="B6987">
            <v>40548</v>
          </cell>
          <cell r="C6987">
            <v>1899.86</v>
          </cell>
        </row>
        <row r="6988">
          <cell r="B6988">
            <v>40549</v>
          </cell>
          <cell r="C6988">
            <v>1894.82</v>
          </cell>
        </row>
        <row r="6989">
          <cell r="B6989">
            <v>40550</v>
          </cell>
          <cell r="C6989">
            <v>1869.94</v>
          </cell>
        </row>
        <row r="6990">
          <cell r="B6990">
            <v>40551</v>
          </cell>
          <cell r="C6990">
            <v>1859.97</v>
          </cell>
        </row>
        <row r="6991">
          <cell r="B6991">
            <v>40552</v>
          </cell>
          <cell r="C6991">
            <v>1859.97</v>
          </cell>
        </row>
        <row r="6992">
          <cell r="B6992">
            <v>40553</v>
          </cell>
          <cell r="C6992">
            <v>1859.97</v>
          </cell>
        </row>
        <row r="6993">
          <cell r="B6993">
            <v>40554</v>
          </cell>
          <cell r="C6993">
            <v>1859.97</v>
          </cell>
        </row>
        <row r="6994">
          <cell r="B6994">
            <v>40555</v>
          </cell>
          <cell r="C6994">
            <v>1856.79</v>
          </cell>
        </row>
        <row r="6995">
          <cell r="B6995">
            <v>40556</v>
          </cell>
          <cell r="C6995">
            <v>1855.46</v>
          </cell>
        </row>
        <row r="6996">
          <cell r="B6996">
            <v>40557</v>
          </cell>
          <cell r="C6996">
            <v>1864.36</v>
          </cell>
        </row>
        <row r="6997">
          <cell r="B6997">
            <v>40558</v>
          </cell>
          <cell r="C6997">
            <v>1872.46</v>
          </cell>
        </row>
        <row r="6998">
          <cell r="B6998">
            <v>40559</v>
          </cell>
          <cell r="C6998">
            <v>1872.46</v>
          </cell>
        </row>
        <row r="6999">
          <cell r="B6999">
            <v>40560</v>
          </cell>
          <cell r="C6999">
            <v>1872.46</v>
          </cell>
        </row>
        <row r="7000">
          <cell r="B7000">
            <v>40561</v>
          </cell>
          <cell r="C7000">
            <v>1872.46</v>
          </cell>
        </row>
        <row r="7001">
          <cell r="B7001">
            <v>40562</v>
          </cell>
          <cell r="C7001">
            <v>1864.64</v>
          </cell>
        </row>
        <row r="7002">
          <cell r="B7002">
            <v>40563</v>
          </cell>
          <cell r="C7002">
            <v>1841.9</v>
          </cell>
        </row>
        <row r="7003">
          <cell r="B7003">
            <v>40564</v>
          </cell>
          <cell r="C7003">
            <v>1849.59</v>
          </cell>
        </row>
        <row r="7004">
          <cell r="B7004">
            <v>40565</v>
          </cell>
          <cell r="C7004">
            <v>1838.94</v>
          </cell>
        </row>
        <row r="7005">
          <cell r="B7005">
            <v>40566</v>
          </cell>
          <cell r="C7005">
            <v>1838.94</v>
          </cell>
        </row>
        <row r="7006">
          <cell r="B7006">
            <v>40567</v>
          </cell>
          <cell r="C7006">
            <v>1838.94</v>
          </cell>
        </row>
        <row r="7007">
          <cell r="B7007">
            <v>40568</v>
          </cell>
          <cell r="C7007">
            <v>1842.43</v>
          </cell>
        </row>
        <row r="7008">
          <cell r="B7008">
            <v>40569</v>
          </cell>
          <cell r="C7008">
            <v>1853.71</v>
          </cell>
        </row>
        <row r="7009">
          <cell r="B7009">
            <v>40570</v>
          </cell>
          <cell r="C7009">
            <v>1862.05</v>
          </cell>
        </row>
        <row r="7010">
          <cell r="B7010">
            <v>40571</v>
          </cell>
          <cell r="C7010">
            <v>1858.7</v>
          </cell>
        </row>
        <row r="7011">
          <cell r="B7011">
            <v>40572</v>
          </cell>
          <cell r="C7011">
            <v>1857.98</v>
          </cell>
        </row>
        <row r="7012">
          <cell r="B7012">
            <v>40573</v>
          </cell>
          <cell r="C7012">
            <v>1857.98</v>
          </cell>
        </row>
        <row r="7013">
          <cell r="B7013">
            <v>40574</v>
          </cell>
          <cell r="C7013">
            <v>1857.98</v>
          </cell>
        </row>
        <row r="7014">
          <cell r="B7014">
            <v>40575</v>
          </cell>
          <cell r="C7014">
            <v>1867.82</v>
          </cell>
        </row>
        <row r="7015">
          <cell r="B7015">
            <v>40576</v>
          </cell>
          <cell r="C7015">
            <v>1853.33</v>
          </cell>
        </row>
        <row r="7016">
          <cell r="B7016">
            <v>40577</v>
          </cell>
          <cell r="C7016">
            <v>1852.67</v>
          </cell>
        </row>
        <row r="7017">
          <cell r="B7017">
            <v>40578</v>
          </cell>
          <cell r="C7017">
            <v>1863.03</v>
          </cell>
        </row>
        <row r="7018">
          <cell r="B7018">
            <v>40579</v>
          </cell>
          <cell r="C7018">
            <v>1872.01</v>
          </cell>
        </row>
        <row r="7019">
          <cell r="B7019">
            <v>40580</v>
          </cell>
          <cell r="C7019">
            <v>1872.01</v>
          </cell>
        </row>
        <row r="7020">
          <cell r="B7020">
            <v>40581</v>
          </cell>
          <cell r="C7020">
            <v>1872.01</v>
          </cell>
        </row>
        <row r="7021">
          <cell r="B7021">
            <v>40582</v>
          </cell>
          <cell r="C7021">
            <v>1871.81</v>
          </cell>
        </row>
        <row r="7022">
          <cell r="B7022">
            <v>40583</v>
          </cell>
          <cell r="C7022">
            <v>1875.32</v>
          </cell>
        </row>
        <row r="7023">
          <cell r="B7023">
            <v>40584</v>
          </cell>
          <cell r="C7023">
            <v>1891.54</v>
          </cell>
        </row>
        <row r="7024">
          <cell r="B7024">
            <v>40585</v>
          </cell>
          <cell r="C7024">
            <v>1889.1</v>
          </cell>
        </row>
        <row r="7025">
          <cell r="B7025">
            <v>40586</v>
          </cell>
          <cell r="C7025">
            <v>1880.37</v>
          </cell>
        </row>
        <row r="7026">
          <cell r="B7026">
            <v>40587</v>
          </cell>
          <cell r="C7026">
            <v>1880.37</v>
          </cell>
        </row>
        <row r="7027">
          <cell r="B7027">
            <v>40588</v>
          </cell>
          <cell r="C7027">
            <v>1880.37</v>
          </cell>
        </row>
        <row r="7028">
          <cell r="B7028">
            <v>40589</v>
          </cell>
          <cell r="C7028">
            <v>1891.84</v>
          </cell>
        </row>
        <row r="7029">
          <cell r="B7029">
            <v>40590</v>
          </cell>
          <cell r="C7029">
            <v>1902.01</v>
          </cell>
        </row>
        <row r="7030">
          <cell r="B7030">
            <v>40591</v>
          </cell>
          <cell r="C7030">
            <v>1907.69</v>
          </cell>
        </row>
        <row r="7031">
          <cell r="B7031">
            <v>40592</v>
          </cell>
          <cell r="C7031">
            <v>1893.46</v>
          </cell>
        </row>
        <row r="7032">
          <cell r="B7032">
            <v>40593</v>
          </cell>
          <cell r="C7032">
            <v>1879.15</v>
          </cell>
        </row>
        <row r="7033">
          <cell r="B7033">
            <v>40594</v>
          </cell>
          <cell r="C7033">
            <v>1879.15</v>
          </cell>
        </row>
        <row r="7034">
          <cell r="B7034">
            <v>40595</v>
          </cell>
          <cell r="C7034">
            <v>1879.15</v>
          </cell>
        </row>
        <row r="7035">
          <cell r="B7035">
            <v>40596</v>
          </cell>
          <cell r="C7035">
            <v>1879.15</v>
          </cell>
        </row>
        <row r="7036">
          <cell r="B7036">
            <v>40597</v>
          </cell>
          <cell r="C7036">
            <v>1889.69</v>
          </cell>
        </row>
        <row r="7037">
          <cell r="B7037">
            <v>40598</v>
          </cell>
          <cell r="C7037">
            <v>1898.28</v>
          </cell>
        </row>
        <row r="7038">
          <cell r="B7038">
            <v>40599</v>
          </cell>
          <cell r="C7038">
            <v>1898.39</v>
          </cell>
        </row>
        <row r="7039">
          <cell r="B7039">
            <v>40600</v>
          </cell>
          <cell r="C7039">
            <v>1895.56</v>
          </cell>
        </row>
        <row r="7040">
          <cell r="B7040">
            <v>40601</v>
          </cell>
          <cell r="C7040">
            <v>1895.56</v>
          </cell>
        </row>
        <row r="7041">
          <cell r="B7041">
            <v>40602</v>
          </cell>
          <cell r="C7041">
            <v>1895.56</v>
          </cell>
        </row>
        <row r="7042">
          <cell r="B7042">
            <v>40603</v>
          </cell>
          <cell r="C7042">
            <v>1907.37</v>
          </cell>
        </row>
        <row r="7043">
          <cell r="B7043">
            <v>40604</v>
          </cell>
          <cell r="C7043">
            <v>1913.21</v>
          </cell>
        </row>
        <row r="7044">
          <cell r="B7044">
            <v>40605</v>
          </cell>
          <cell r="C7044">
            <v>1916.05</v>
          </cell>
        </row>
        <row r="7045">
          <cell r="B7045">
            <v>40606</v>
          </cell>
          <cell r="C7045">
            <v>1904.73</v>
          </cell>
        </row>
        <row r="7046">
          <cell r="B7046">
            <v>40607</v>
          </cell>
          <cell r="C7046">
            <v>1890.23</v>
          </cell>
        </row>
        <row r="7047">
          <cell r="B7047">
            <v>40608</v>
          </cell>
          <cell r="C7047">
            <v>1890.23</v>
          </cell>
        </row>
        <row r="7048">
          <cell r="B7048">
            <v>40609</v>
          </cell>
          <cell r="C7048">
            <v>1890.23</v>
          </cell>
        </row>
        <row r="7049">
          <cell r="B7049">
            <v>40610</v>
          </cell>
          <cell r="C7049">
            <v>1893.17</v>
          </cell>
        </row>
        <row r="7050">
          <cell r="B7050">
            <v>40611</v>
          </cell>
          <cell r="C7050">
            <v>1889.85</v>
          </cell>
        </row>
        <row r="7051">
          <cell r="B7051">
            <v>40612</v>
          </cell>
          <cell r="C7051">
            <v>1879.49</v>
          </cell>
        </row>
        <row r="7052">
          <cell r="B7052">
            <v>40613</v>
          </cell>
          <cell r="C7052">
            <v>1871.97</v>
          </cell>
        </row>
        <row r="7053">
          <cell r="B7053">
            <v>40614</v>
          </cell>
          <cell r="C7053">
            <v>1866.2</v>
          </cell>
        </row>
        <row r="7054">
          <cell r="B7054">
            <v>40615</v>
          </cell>
          <cell r="C7054">
            <v>1866.2</v>
          </cell>
        </row>
        <row r="7055">
          <cell r="B7055">
            <v>40616</v>
          </cell>
          <cell r="C7055">
            <v>1866.2</v>
          </cell>
        </row>
        <row r="7056">
          <cell r="B7056">
            <v>40617</v>
          </cell>
          <cell r="C7056">
            <v>1876.29</v>
          </cell>
        </row>
        <row r="7057">
          <cell r="B7057">
            <v>40618</v>
          </cell>
          <cell r="C7057">
            <v>1887.67</v>
          </cell>
        </row>
        <row r="7058">
          <cell r="B7058">
            <v>40619</v>
          </cell>
          <cell r="C7058">
            <v>1892.62</v>
          </cell>
        </row>
        <row r="7059">
          <cell r="B7059">
            <v>40620</v>
          </cell>
          <cell r="C7059">
            <v>1876.78</v>
          </cell>
        </row>
        <row r="7060">
          <cell r="B7060">
            <v>40621</v>
          </cell>
          <cell r="C7060">
            <v>1874.79</v>
          </cell>
        </row>
        <row r="7061">
          <cell r="B7061">
            <v>40622</v>
          </cell>
          <cell r="C7061">
            <v>1874.79</v>
          </cell>
        </row>
        <row r="7062">
          <cell r="B7062">
            <v>40623</v>
          </cell>
          <cell r="C7062">
            <v>1874.79</v>
          </cell>
        </row>
        <row r="7063">
          <cell r="B7063">
            <v>40624</v>
          </cell>
          <cell r="C7063">
            <v>1874.79</v>
          </cell>
        </row>
        <row r="7064">
          <cell r="B7064">
            <v>40625</v>
          </cell>
          <cell r="C7064">
            <v>1866.34</v>
          </cell>
        </row>
        <row r="7065">
          <cell r="B7065">
            <v>40626</v>
          </cell>
          <cell r="C7065">
            <v>1867.74</v>
          </cell>
        </row>
        <row r="7066">
          <cell r="B7066">
            <v>40627</v>
          </cell>
          <cell r="C7066">
            <v>1865.11</v>
          </cell>
        </row>
        <row r="7067">
          <cell r="B7067">
            <v>40628</v>
          </cell>
          <cell r="C7067">
            <v>1871.37</v>
          </cell>
        </row>
        <row r="7068">
          <cell r="B7068">
            <v>40629</v>
          </cell>
          <cell r="C7068">
            <v>1871.37</v>
          </cell>
        </row>
        <row r="7069">
          <cell r="B7069">
            <v>40630</v>
          </cell>
          <cell r="C7069">
            <v>1871.37</v>
          </cell>
        </row>
        <row r="7070">
          <cell r="B7070">
            <v>40631</v>
          </cell>
          <cell r="C7070">
            <v>1877.84</v>
          </cell>
        </row>
        <row r="7071">
          <cell r="B7071">
            <v>40632</v>
          </cell>
          <cell r="C7071">
            <v>1888</v>
          </cell>
        </row>
        <row r="7072">
          <cell r="B7072">
            <v>40633</v>
          </cell>
          <cell r="C7072">
            <v>1879.47</v>
          </cell>
        </row>
        <row r="7073">
          <cell r="B7073">
            <v>40634</v>
          </cell>
          <cell r="C7073">
            <v>1870.6</v>
          </cell>
        </row>
        <row r="7074">
          <cell r="B7074">
            <v>40635</v>
          </cell>
          <cell r="C7074">
            <v>1858.95</v>
          </cell>
        </row>
        <row r="7075">
          <cell r="B7075">
            <v>40636</v>
          </cell>
          <cell r="C7075">
            <v>1858.95</v>
          </cell>
        </row>
        <row r="7076">
          <cell r="B7076">
            <v>40637</v>
          </cell>
          <cell r="C7076">
            <v>1858.95</v>
          </cell>
        </row>
        <row r="7077">
          <cell r="B7077">
            <v>40638</v>
          </cell>
          <cell r="C7077">
            <v>1846.78</v>
          </cell>
        </row>
        <row r="7078">
          <cell r="B7078">
            <v>40639</v>
          </cell>
          <cell r="C7078">
            <v>1838.29</v>
          </cell>
        </row>
        <row r="7079">
          <cell r="B7079">
            <v>40640</v>
          </cell>
          <cell r="C7079">
            <v>1826.97</v>
          </cell>
        </row>
        <row r="7080">
          <cell r="B7080">
            <v>40641</v>
          </cell>
          <cell r="C7080">
            <v>1825.09</v>
          </cell>
        </row>
        <row r="7081">
          <cell r="B7081">
            <v>40642</v>
          </cell>
          <cell r="C7081">
            <v>1817.35</v>
          </cell>
        </row>
        <row r="7082">
          <cell r="B7082">
            <v>40643</v>
          </cell>
          <cell r="C7082">
            <v>1817.35</v>
          </cell>
        </row>
        <row r="7083">
          <cell r="B7083">
            <v>40644</v>
          </cell>
          <cell r="C7083">
            <v>1817.35</v>
          </cell>
        </row>
        <row r="7084">
          <cell r="B7084">
            <v>40645</v>
          </cell>
          <cell r="C7084">
            <v>1815.79</v>
          </cell>
        </row>
        <row r="7085">
          <cell r="B7085">
            <v>40646</v>
          </cell>
          <cell r="C7085">
            <v>1818.14</v>
          </cell>
        </row>
        <row r="7086">
          <cell r="B7086">
            <v>40647</v>
          </cell>
          <cell r="C7086">
            <v>1818.91</v>
          </cell>
        </row>
        <row r="7087">
          <cell r="B7087">
            <v>40648</v>
          </cell>
          <cell r="C7087">
            <v>1811.1</v>
          </cell>
        </row>
        <row r="7088">
          <cell r="B7088">
            <v>40649</v>
          </cell>
          <cell r="C7088">
            <v>1800.63</v>
          </cell>
        </row>
        <row r="7089">
          <cell r="B7089">
            <v>40650</v>
          </cell>
          <cell r="C7089">
            <v>1800.63</v>
          </cell>
        </row>
        <row r="7090">
          <cell r="B7090">
            <v>40651</v>
          </cell>
          <cell r="C7090">
            <v>1800.63</v>
          </cell>
        </row>
        <row r="7091">
          <cell r="B7091">
            <v>40652</v>
          </cell>
          <cell r="C7091">
            <v>1799.79</v>
          </cell>
        </row>
        <row r="7092">
          <cell r="B7092">
            <v>40653</v>
          </cell>
          <cell r="C7092">
            <v>1790.54</v>
          </cell>
        </row>
        <row r="7093">
          <cell r="B7093">
            <v>40654</v>
          </cell>
          <cell r="C7093">
            <v>1782.59</v>
          </cell>
        </row>
        <row r="7094">
          <cell r="B7094">
            <v>40655</v>
          </cell>
          <cell r="C7094">
            <v>1782.59</v>
          </cell>
        </row>
        <row r="7095">
          <cell r="B7095">
            <v>40656</v>
          </cell>
          <cell r="C7095">
            <v>1782.59</v>
          </cell>
        </row>
        <row r="7096">
          <cell r="B7096">
            <v>40657</v>
          </cell>
          <cell r="C7096">
            <v>1782.59</v>
          </cell>
        </row>
        <row r="7097">
          <cell r="B7097">
            <v>40658</v>
          </cell>
          <cell r="C7097">
            <v>1782.59</v>
          </cell>
        </row>
        <row r="7098">
          <cell r="B7098">
            <v>40659</v>
          </cell>
          <cell r="C7098">
            <v>1781.56</v>
          </cell>
        </row>
        <row r="7099">
          <cell r="B7099">
            <v>40660</v>
          </cell>
          <cell r="C7099">
            <v>1787.88</v>
          </cell>
        </row>
        <row r="7100">
          <cell r="B7100">
            <v>40661</v>
          </cell>
          <cell r="C7100">
            <v>1784.11</v>
          </cell>
        </row>
        <row r="7101">
          <cell r="B7101">
            <v>40662</v>
          </cell>
          <cell r="C7101">
            <v>1767.54</v>
          </cell>
        </row>
        <row r="7102">
          <cell r="B7102">
            <v>40663</v>
          </cell>
          <cell r="C7102">
            <v>1768.19</v>
          </cell>
        </row>
        <row r="7103">
          <cell r="B7103">
            <v>40664</v>
          </cell>
          <cell r="C7103">
            <v>1768.19</v>
          </cell>
        </row>
        <row r="7104">
          <cell r="B7104">
            <v>40665</v>
          </cell>
          <cell r="C7104">
            <v>1768.19</v>
          </cell>
        </row>
        <row r="7105">
          <cell r="B7105">
            <v>40666</v>
          </cell>
          <cell r="C7105">
            <v>1768.37</v>
          </cell>
        </row>
        <row r="7106">
          <cell r="B7106">
            <v>40667</v>
          </cell>
          <cell r="C7106">
            <v>1767.05</v>
          </cell>
        </row>
        <row r="7107">
          <cell r="B7107">
            <v>40668</v>
          </cell>
          <cell r="C7107">
            <v>1763.45</v>
          </cell>
        </row>
        <row r="7108">
          <cell r="B7108">
            <v>40669</v>
          </cell>
          <cell r="C7108">
            <v>1769.46</v>
          </cell>
        </row>
        <row r="7109">
          <cell r="B7109">
            <v>40670</v>
          </cell>
          <cell r="C7109">
            <v>1763.12</v>
          </cell>
        </row>
        <row r="7110">
          <cell r="B7110">
            <v>40671</v>
          </cell>
          <cell r="C7110">
            <v>1763.12</v>
          </cell>
        </row>
        <row r="7111">
          <cell r="B7111">
            <v>40672</v>
          </cell>
          <cell r="C7111">
            <v>1763.12</v>
          </cell>
        </row>
        <row r="7112">
          <cell r="B7112">
            <v>40673</v>
          </cell>
          <cell r="C7112">
            <v>1779.7</v>
          </cell>
        </row>
        <row r="7113">
          <cell r="B7113">
            <v>40674</v>
          </cell>
          <cell r="C7113">
            <v>1791.72</v>
          </cell>
        </row>
        <row r="7114">
          <cell r="B7114">
            <v>40675</v>
          </cell>
          <cell r="C7114">
            <v>1798.66</v>
          </cell>
        </row>
        <row r="7115">
          <cell r="B7115">
            <v>40676</v>
          </cell>
          <cell r="C7115">
            <v>1807.86</v>
          </cell>
        </row>
        <row r="7116">
          <cell r="B7116">
            <v>40677</v>
          </cell>
          <cell r="C7116">
            <v>1805.37</v>
          </cell>
        </row>
        <row r="7117">
          <cell r="B7117">
            <v>40678</v>
          </cell>
          <cell r="C7117">
            <v>1805.37</v>
          </cell>
        </row>
        <row r="7118">
          <cell r="B7118">
            <v>40679</v>
          </cell>
          <cell r="C7118">
            <v>1805.37</v>
          </cell>
        </row>
        <row r="7119">
          <cell r="B7119">
            <v>40680</v>
          </cell>
          <cell r="C7119">
            <v>1814.98</v>
          </cell>
        </row>
        <row r="7120">
          <cell r="B7120">
            <v>40681</v>
          </cell>
          <cell r="C7120">
            <v>1826.03</v>
          </cell>
        </row>
        <row r="7121">
          <cell r="B7121">
            <v>40682</v>
          </cell>
          <cell r="C7121">
            <v>1824.62</v>
          </cell>
        </row>
        <row r="7122">
          <cell r="B7122">
            <v>40683</v>
          </cell>
          <cell r="C7122">
            <v>1814.99</v>
          </cell>
        </row>
        <row r="7123">
          <cell r="B7123">
            <v>40684</v>
          </cell>
          <cell r="C7123">
            <v>1819.86</v>
          </cell>
        </row>
        <row r="7124">
          <cell r="B7124">
            <v>40685</v>
          </cell>
          <cell r="C7124">
            <v>1819.86</v>
          </cell>
        </row>
        <row r="7125">
          <cell r="B7125">
            <v>40686</v>
          </cell>
          <cell r="C7125">
            <v>1819.86</v>
          </cell>
        </row>
        <row r="7126">
          <cell r="B7126">
            <v>40687</v>
          </cell>
          <cell r="C7126">
            <v>1828.12</v>
          </cell>
        </row>
        <row r="7127">
          <cell r="B7127">
            <v>40688</v>
          </cell>
          <cell r="C7127">
            <v>1828.64</v>
          </cell>
        </row>
        <row r="7128">
          <cell r="B7128">
            <v>40689</v>
          </cell>
          <cell r="C7128">
            <v>1831.58</v>
          </cell>
        </row>
        <row r="7129">
          <cell r="B7129">
            <v>40690</v>
          </cell>
          <cell r="C7129">
            <v>1829.75</v>
          </cell>
        </row>
        <row r="7130">
          <cell r="B7130">
            <v>40691</v>
          </cell>
          <cell r="C7130">
            <v>1817.34</v>
          </cell>
        </row>
        <row r="7131">
          <cell r="B7131">
            <v>40692</v>
          </cell>
          <cell r="C7131">
            <v>1817.34</v>
          </cell>
        </row>
        <row r="7132">
          <cell r="B7132">
            <v>40693</v>
          </cell>
          <cell r="C7132">
            <v>1817.34</v>
          </cell>
        </row>
        <row r="7133">
          <cell r="B7133">
            <v>40694</v>
          </cell>
          <cell r="C7133">
            <v>1817.34</v>
          </cell>
        </row>
        <row r="7134">
          <cell r="B7134">
            <v>40695</v>
          </cell>
          <cell r="C7134">
            <v>1797.83</v>
          </cell>
        </row>
        <row r="7135">
          <cell r="B7135">
            <v>40696</v>
          </cell>
          <cell r="C7135">
            <v>1789.41</v>
          </cell>
        </row>
        <row r="7136">
          <cell r="B7136">
            <v>40697</v>
          </cell>
          <cell r="C7136">
            <v>1784.12</v>
          </cell>
        </row>
        <row r="7137">
          <cell r="B7137">
            <v>40698</v>
          </cell>
          <cell r="C7137">
            <v>1785.05</v>
          </cell>
        </row>
        <row r="7138">
          <cell r="B7138">
            <v>40699</v>
          </cell>
          <cell r="C7138">
            <v>1785.05</v>
          </cell>
        </row>
        <row r="7139">
          <cell r="B7139">
            <v>40700</v>
          </cell>
          <cell r="C7139">
            <v>1785.05</v>
          </cell>
        </row>
        <row r="7140">
          <cell r="B7140">
            <v>40701</v>
          </cell>
          <cell r="C7140">
            <v>1785.05</v>
          </cell>
        </row>
        <row r="7141">
          <cell r="B7141">
            <v>40702</v>
          </cell>
          <cell r="C7141">
            <v>1770.13</v>
          </cell>
        </row>
        <row r="7142">
          <cell r="B7142">
            <v>40703</v>
          </cell>
          <cell r="C7142">
            <v>1769.83</v>
          </cell>
        </row>
        <row r="7143">
          <cell r="B7143">
            <v>40704</v>
          </cell>
          <cell r="C7143">
            <v>1772.59</v>
          </cell>
        </row>
        <row r="7144">
          <cell r="B7144">
            <v>40705</v>
          </cell>
          <cell r="C7144">
            <v>1774.94</v>
          </cell>
        </row>
        <row r="7145">
          <cell r="B7145">
            <v>40706</v>
          </cell>
          <cell r="C7145">
            <v>1774.94</v>
          </cell>
        </row>
        <row r="7146">
          <cell r="B7146">
            <v>40707</v>
          </cell>
          <cell r="C7146">
            <v>1774.94</v>
          </cell>
        </row>
        <row r="7147">
          <cell r="B7147">
            <v>40708</v>
          </cell>
          <cell r="C7147">
            <v>1777.64</v>
          </cell>
        </row>
        <row r="7148">
          <cell r="B7148">
            <v>40709</v>
          </cell>
          <cell r="C7148">
            <v>1774.24</v>
          </cell>
        </row>
        <row r="7149">
          <cell r="B7149">
            <v>40710</v>
          </cell>
          <cell r="C7149">
            <v>1781.4</v>
          </cell>
        </row>
        <row r="7150">
          <cell r="B7150">
            <v>40711</v>
          </cell>
          <cell r="C7150">
            <v>1793.92</v>
          </cell>
        </row>
        <row r="7151">
          <cell r="B7151">
            <v>40712</v>
          </cell>
          <cell r="C7151">
            <v>1787.8</v>
          </cell>
        </row>
        <row r="7152">
          <cell r="B7152">
            <v>40713</v>
          </cell>
          <cell r="C7152">
            <v>1787.8</v>
          </cell>
        </row>
        <row r="7153">
          <cell r="B7153">
            <v>40714</v>
          </cell>
          <cell r="C7153">
            <v>1787.8</v>
          </cell>
        </row>
        <row r="7154">
          <cell r="B7154">
            <v>40715</v>
          </cell>
          <cell r="C7154">
            <v>1789.47</v>
          </cell>
        </row>
        <row r="7155">
          <cell r="B7155">
            <v>40716</v>
          </cell>
          <cell r="C7155">
            <v>1780.48</v>
          </cell>
        </row>
        <row r="7156">
          <cell r="B7156">
            <v>40717</v>
          </cell>
          <cell r="C7156">
            <v>1779.1</v>
          </cell>
        </row>
        <row r="7157">
          <cell r="B7157">
            <v>40718</v>
          </cell>
          <cell r="C7157">
            <v>1788.11</v>
          </cell>
        </row>
        <row r="7158">
          <cell r="B7158">
            <v>40719</v>
          </cell>
          <cell r="C7158">
            <v>1787.8</v>
          </cell>
        </row>
        <row r="7159">
          <cell r="B7159">
            <v>40720</v>
          </cell>
          <cell r="C7159">
            <v>1787.8</v>
          </cell>
        </row>
        <row r="7160">
          <cell r="B7160">
            <v>40721</v>
          </cell>
          <cell r="C7160">
            <v>1787.8</v>
          </cell>
        </row>
        <row r="7161">
          <cell r="B7161">
            <v>40722</v>
          </cell>
          <cell r="C7161">
            <v>1787.8</v>
          </cell>
        </row>
        <row r="7162">
          <cell r="B7162">
            <v>40723</v>
          </cell>
          <cell r="C7162">
            <v>1786.73</v>
          </cell>
        </row>
        <row r="7163">
          <cell r="B7163">
            <v>40724</v>
          </cell>
          <cell r="C7163">
            <v>1780.16</v>
          </cell>
        </row>
        <row r="7164">
          <cell r="B7164">
            <v>40725</v>
          </cell>
          <cell r="C7164">
            <v>1772.32</v>
          </cell>
        </row>
        <row r="7165">
          <cell r="B7165">
            <v>40726</v>
          </cell>
          <cell r="C7165">
            <v>1762.59</v>
          </cell>
        </row>
        <row r="7166">
          <cell r="B7166">
            <v>40727</v>
          </cell>
          <cell r="C7166">
            <v>1762.59</v>
          </cell>
        </row>
        <row r="7167">
          <cell r="B7167">
            <v>40728</v>
          </cell>
          <cell r="C7167">
            <v>1762.59</v>
          </cell>
        </row>
        <row r="7168">
          <cell r="B7168">
            <v>40729</v>
          </cell>
          <cell r="C7168">
            <v>1762.59</v>
          </cell>
        </row>
        <row r="7169">
          <cell r="B7169">
            <v>40730</v>
          </cell>
          <cell r="C7169">
            <v>1766.57</v>
          </cell>
        </row>
        <row r="7170">
          <cell r="B7170">
            <v>40731</v>
          </cell>
          <cell r="C7170">
            <v>1767.47</v>
          </cell>
        </row>
        <row r="7171">
          <cell r="B7171">
            <v>40732</v>
          </cell>
          <cell r="C7171">
            <v>1759.38</v>
          </cell>
        </row>
        <row r="7172">
          <cell r="B7172">
            <v>40733</v>
          </cell>
          <cell r="C7172">
            <v>1759.41</v>
          </cell>
        </row>
        <row r="7173">
          <cell r="B7173">
            <v>40734</v>
          </cell>
          <cell r="C7173">
            <v>1759.41</v>
          </cell>
        </row>
        <row r="7174">
          <cell r="B7174">
            <v>40735</v>
          </cell>
          <cell r="C7174">
            <v>1759.41</v>
          </cell>
        </row>
        <row r="7175">
          <cell r="B7175">
            <v>40736</v>
          </cell>
          <cell r="C7175">
            <v>1768.42</v>
          </cell>
        </row>
        <row r="7176">
          <cell r="B7176">
            <v>40737</v>
          </cell>
          <cell r="C7176">
            <v>1765.32</v>
          </cell>
        </row>
        <row r="7177">
          <cell r="B7177">
            <v>40738</v>
          </cell>
          <cell r="C7177">
            <v>1758.25</v>
          </cell>
        </row>
        <row r="7178">
          <cell r="B7178">
            <v>40739</v>
          </cell>
          <cell r="C7178">
            <v>1748.41</v>
          </cell>
        </row>
        <row r="7179">
          <cell r="B7179">
            <v>40740</v>
          </cell>
          <cell r="C7179">
            <v>1750.9</v>
          </cell>
        </row>
        <row r="7180">
          <cell r="B7180">
            <v>40741</v>
          </cell>
          <cell r="C7180">
            <v>1750.9</v>
          </cell>
        </row>
        <row r="7181">
          <cell r="B7181">
            <v>40742</v>
          </cell>
          <cell r="C7181">
            <v>1750.9</v>
          </cell>
        </row>
        <row r="7182">
          <cell r="B7182">
            <v>40743</v>
          </cell>
          <cell r="C7182">
            <v>1758.99</v>
          </cell>
        </row>
        <row r="7183">
          <cell r="B7183">
            <v>40744</v>
          </cell>
          <cell r="C7183">
            <v>1757.49</v>
          </cell>
        </row>
        <row r="7184">
          <cell r="B7184">
            <v>40745</v>
          </cell>
          <cell r="C7184">
            <v>1757.49</v>
          </cell>
        </row>
        <row r="7185">
          <cell r="B7185">
            <v>40746</v>
          </cell>
          <cell r="C7185">
            <v>1756.38</v>
          </cell>
        </row>
        <row r="7186">
          <cell r="B7186">
            <v>40747</v>
          </cell>
          <cell r="C7186">
            <v>1757.35</v>
          </cell>
        </row>
        <row r="7187">
          <cell r="B7187">
            <v>40748</v>
          </cell>
          <cell r="C7187">
            <v>1757.35</v>
          </cell>
        </row>
        <row r="7188">
          <cell r="B7188">
            <v>40749</v>
          </cell>
          <cell r="C7188">
            <v>1757.35</v>
          </cell>
        </row>
        <row r="7189">
          <cell r="B7189">
            <v>40750</v>
          </cell>
          <cell r="C7189">
            <v>1768.02</v>
          </cell>
        </row>
        <row r="7190">
          <cell r="B7190">
            <v>40751</v>
          </cell>
          <cell r="C7190">
            <v>1759.88</v>
          </cell>
        </row>
        <row r="7191">
          <cell r="B7191">
            <v>40752</v>
          </cell>
          <cell r="C7191">
            <v>1764.89</v>
          </cell>
        </row>
        <row r="7192">
          <cell r="B7192">
            <v>40753</v>
          </cell>
          <cell r="C7192">
            <v>1771.15</v>
          </cell>
        </row>
        <row r="7193">
          <cell r="B7193">
            <v>40754</v>
          </cell>
          <cell r="C7193">
            <v>1777.82</v>
          </cell>
        </row>
        <row r="7194">
          <cell r="B7194">
            <v>40755</v>
          </cell>
          <cell r="C7194">
            <v>1777.82</v>
          </cell>
        </row>
        <row r="7195">
          <cell r="B7195">
            <v>40756</v>
          </cell>
          <cell r="C7195">
            <v>1777.82</v>
          </cell>
        </row>
        <row r="7196">
          <cell r="B7196">
            <v>40757</v>
          </cell>
          <cell r="C7196">
            <v>1771.81</v>
          </cell>
        </row>
        <row r="7197">
          <cell r="B7197">
            <v>40758</v>
          </cell>
          <cell r="C7197">
            <v>1765.53</v>
          </cell>
        </row>
        <row r="7198">
          <cell r="B7198">
            <v>40759</v>
          </cell>
          <cell r="C7198">
            <v>1772.52</v>
          </cell>
        </row>
        <row r="7199">
          <cell r="B7199">
            <v>40760</v>
          </cell>
          <cell r="C7199">
            <v>1781.33</v>
          </cell>
        </row>
        <row r="7200">
          <cell r="B7200">
            <v>40761</v>
          </cell>
          <cell r="C7200">
            <v>1792.68</v>
          </cell>
        </row>
        <row r="7201">
          <cell r="B7201">
            <v>40762</v>
          </cell>
          <cell r="C7201">
            <v>1792.68</v>
          </cell>
        </row>
        <row r="7202">
          <cell r="B7202">
            <v>40763</v>
          </cell>
          <cell r="C7202">
            <v>1792.68</v>
          </cell>
        </row>
        <row r="7203">
          <cell r="B7203">
            <v>40764</v>
          </cell>
          <cell r="C7203">
            <v>1811.18</v>
          </cell>
        </row>
        <row r="7204">
          <cell r="B7204">
            <v>40765</v>
          </cell>
          <cell r="C7204">
            <v>1811.68</v>
          </cell>
        </row>
        <row r="7205">
          <cell r="B7205">
            <v>40766</v>
          </cell>
          <cell r="C7205">
            <v>1800.97</v>
          </cell>
        </row>
        <row r="7206">
          <cell r="B7206">
            <v>40767</v>
          </cell>
          <cell r="C7206">
            <v>1793.47</v>
          </cell>
        </row>
        <row r="7207">
          <cell r="B7207">
            <v>40768</v>
          </cell>
          <cell r="C7207">
            <v>1783.35</v>
          </cell>
        </row>
        <row r="7208">
          <cell r="B7208">
            <v>40769</v>
          </cell>
          <cell r="C7208">
            <v>1783.35</v>
          </cell>
        </row>
        <row r="7209">
          <cell r="B7209">
            <v>40770</v>
          </cell>
          <cell r="C7209">
            <v>1783.35</v>
          </cell>
        </row>
        <row r="7210">
          <cell r="B7210">
            <v>40771</v>
          </cell>
          <cell r="C7210">
            <v>1783.35</v>
          </cell>
        </row>
        <row r="7211">
          <cell r="B7211">
            <v>40772</v>
          </cell>
          <cell r="C7211">
            <v>1776.66</v>
          </cell>
        </row>
        <row r="7212">
          <cell r="B7212">
            <v>40773</v>
          </cell>
          <cell r="C7212">
            <v>1767.29</v>
          </cell>
        </row>
        <row r="7213">
          <cell r="B7213">
            <v>40774</v>
          </cell>
          <cell r="C7213">
            <v>1775.84</v>
          </cell>
        </row>
        <row r="7214">
          <cell r="B7214">
            <v>40775</v>
          </cell>
          <cell r="C7214">
            <v>1779.05</v>
          </cell>
        </row>
        <row r="7215">
          <cell r="B7215">
            <v>40776</v>
          </cell>
          <cell r="C7215">
            <v>1779.05</v>
          </cell>
        </row>
        <row r="7216">
          <cell r="B7216">
            <v>40777</v>
          </cell>
          <cell r="C7216">
            <v>1779.05</v>
          </cell>
        </row>
        <row r="7217">
          <cell r="B7217">
            <v>40778</v>
          </cell>
          <cell r="C7217">
            <v>1779.86</v>
          </cell>
        </row>
        <row r="7218">
          <cell r="B7218">
            <v>40779</v>
          </cell>
          <cell r="C7218">
            <v>1781.91</v>
          </cell>
        </row>
        <row r="7219">
          <cell r="B7219">
            <v>40780</v>
          </cell>
          <cell r="C7219">
            <v>1791.61</v>
          </cell>
        </row>
        <row r="7220">
          <cell r="B7220">
            <v>40781</v>
          </cell>
          <cell r="C7220">
            <v>1791.05</v>
          </cell>
        </row>
        <row r="7221">
          <cell r="B7221">
            <v>40782</v>
          </cell>
          <cell r="C7221">
            <v>1794.02</v>
          </cell>
        </row>
        <row r="7222">
          <cell r="B7222">
            <v>40783</v>
          </cell>
          <cell r="C7222">
            <v>1794.02</v>
          </cell>
        </row>
        <row r="7223">
          <cell r="B7223">
            <v>40784</v>
          </cell>
          <cell r="C7223">
            <v>1794.02</v>
          </cell>
        </row>
        <row r="7224">
          <cell r="B7224">
            <v>40785</v>
          </cell>
          <cell r="C7224">
            <v>1787.52</v>
          </cell>
        </row>
        <row r="7225">
          <cell r="B7225">
            <v>40786</v>
          </cell>
          <cell r="C7225">
            <v>1783.66</v>
          </cell>
        </row>
        <row r="7226">
          <cell r="B7226">
            <v>40787</v>
          </cell>
          <cell r="C7226">
            <v>1780.26</v>
          </cell>
        </row>
        <row r="7227">
          <cell r="B7227">
            <v>40788</v>
          </cell>
          <cell r="C7227">
            <v>1778.51</v>
          </cell>
        </row>
        <row r="7228">
          <cell r="B7228">
            <v>40789</v>
          </cell>
          <cell r="C7228">
            <v>1782.8</v>
          </cell>
        </row>
        <row r="7229">
          <cell r="B7229">
            <v>40790</v>
          </cell>
          <cell r="C7229">
            <v>1782.8</v>
          </cell>
        </row>
        <row r="7230">
          <cell r="B7230">
            <v>40791</v>
          </cell>
          <cell r="C7230">
            <v>1782.8</v>
          </cell>
        </row>
        <row r="7231">
          <cell r="B7231">
            <v>40792</v>
          </cell>
          <cell r="C7231">
            <v>1782.8</v>
          </cell>
        </row>
        <row r="7232">
          <cell r="B7232">
            <v>40793</v>
          </cell>
          <cell r="C7232">
            <v>1791.89</v>
          </cell>
        </row>
        <row r="7233">
          <cell r="B7233">
            <v>40794</v>
          </cell>
          <cell r="C7233">
            <v>1789.3</v>
          </cell>
        </row>
        <row r="7234">
          <cell r="B7234">
            <v>40795</v>
          </cell>
          <cell r="C7234">
            <v>1789.9</v>
          </cell>
        </row>
        <row r="7235">
          <cell r="B7235">
            <v>40796</v>
          </cell>
          <cell r="C7235">
            <v>1796.58</v>
          </cell>
        </row>
        <row r="7236">
          <cell r="B7236">
            <v>40797</v>
          </cell>
          <cell r="C7236">
            <v>1796.58</v>
          </cell>
        </row>
        <row r="7237">
          <cell r="B7237">
            <v>40798</v>
          </cell>
          <cell r="C7237">
            <v>1796.58</v>
          </cell>
        </row>
        <row r="7238">
          <cell r="B7238">
            <v>40799</v>
          </cell>
          <cell r="C7238">
            <v>1811.34</v>
          </cell>
        </row>
        <row r="7239">
          <cell r="B7239">
            <v>40800</v>
          </cell>
          <cell r="C7239">
            <v>1813.42</v>
          </cell>
        </row>
        <row r="7240">
          <cell r="B7240">
            <v>40801</v>
          </cell>
          <cell r="C7240">
            <v>1824.15</v>
          </cell>
        </row>
        <row r="7241">
          <cell r="B7241">
            <v>40802</v>
          </cell>
          <cell r="C7241">
            <v>1822.04</v>
          </cell>
        </row>
        <row r="7242">
          <cell r="B7242">
            <v>40803</v>
          </cell>
          <cell r="C7242">
            <v>1820.29</v>
          </cell>
        </row>
        <row r="7243">
          <cell r="B7243">
            <v>40804</v>
          </cell>
          <cell r="C7243">
            <v>1820.29</v>
          </cell>
        </row>
        <row r="7244">
          <cell r="B7244">
            <v>40805</v>
          </cell>
          <cell r="C7244">
            <v>1820.29</v>
          </cell>
        </row>
        <row r="7245">
          <cell r="B7245">
            <v>40806</v>
          </cell>
          <cell r="C7245">
            <v>1843.26</v>
          </cell>
        </row>
        <row r="7246">
          <cell r="B7246">
            <v>40807</v>
          </cell>
          <cell r="C7246">
            <v>1854.96</v>
          </cell>
        </row>
        <row r="7247">
          <cell r="B7247">
            <v>40808</v>
          </cell>
          <cell r="C7247">
            <v>1882.23</v>
          </cell>
        </row>
        <row r="7248">
          <cell r="B7248">
            <v>40809</v>
          </cell>
          <cell r="C7248">
            <v>1915.63</v>
          </cell>
        </row>
        <row r="7249">
          <cell r="B7249">
            <v>40810</v>
          </cell>
          <cell r="C7249">
            <v>1902.45</v>
          </cell>
        </row>
        <row r="7250">
          <cell r="B7250">
            <v>40811</v>
          </cell>
          <cell r="C7250">
            <v>1902.45</v>
          </cell>
        </row>
        <row r="7251">
          <cell r="B7251">
            <v>40812</v>
          </cell>
          <cell r="C7251">
            <v>1902.45</v>
          </cell>
        </row>
        <row r="7252">
          <cell r="B7252">
            <v>40813</v>
          </cell>
          <cell r="C7252">
            <v>1903.31</v>
          </cell>
        </row>
        <row r="7253">
          <cell r="B7253">
            <v>40814</v>
          </cell>
          <cell r="C7253">
            <v>1887.38</v>
          </cell>
        </row>
        <row r="7254">
          <cell r="B7254">
            <v>40815</v>
          </cell>
          <cell r="C7254">
            <v>1907.75</v>
          </cell>
        </row>
        <row r="7255">
          <cell r="B7255">
            <v>40816</v>
          </cell>
          <cell r="C7255">
            <v>1915.1</v>
          </cell>
        </row>
        <row r="7256">
          <cell r="B7256">
            <v>40817</v>
          </cell>
          <cell r="C7256">
            <v>1929.01</v>
          </cell>
        </row>
        <row r="7257">
          <cell r="B7257">
            <v>40818</v>
          </cell>
          <cell r="C7257">
            <v>1929.01</v>
          </cell>
        </row>
        <row r="7258">
          <cell r="B7258">
            <v>40819</v>
          </cell>
          <cell r="C7258">
            <v>1929.01</v>
          </cell>
        </row>
        <row r="7259">
          <cell r="B7259">
            <v>40820</v>
          </cell>
          <cell r="C7259">
            <v>1943.8</v>
          </cell>
        </row>
        <row r="7260">
          <cell r="B7260">
            <v>40821</v>
          </cell>
          <cell r="C7260">
            <v>1972.76</v>
          </cell>
        </row>
        <row r="7261">
          <cell r="B7261">
            <v>40822</v>
          </cell>
          <cell r="C7261">
            <v>1967.56</v>
          </cell>
        </row>
        <row r="7262">
          <cell r="B7262">
            <v>40823</v>
          </cell>
          <cell r="C7262">
            <v>1952.09</v>
          </cell>
        </row>
        <row r="7263">
          <cell r="B7263">
            <v>40824</v>
          </cell>
          <cell r="C7263">
            <v>1931.64</v>
          </cell>
        </row>
        <row r="7264">
          <cell r="B7264">
            <v>40825</v>
          </cell>
          <cell r="C7264">
            <v>1931.64</v>
          </cell>
        </row>
        <row r="7265">
          <cell r="B7265">
            <v>40826</v>
          </cell>
          <cell r="C7265">
            <v>1931.64</v>
          </cell>
        </row>
        <row r="7266">
          <cell r="B7266">
            <v>40827</v>
          </cell>
          <cell r="C7266">
            <v>1931.64</v>
          </cell>
        </row>
        <row r="7267">
          <cell r="B7267">
            <v>40828</v>
          </cell>
          <cell r="C7267">
            <v>1913.6</v>
          </cell>
        </row>
        <row r="7268">
          <cell r="B7268">
            <v>40829</v>
          </cell>
          <cell r="C7268">
            <v>1896.72</v>
          </cell>
        </row>
        <row r="7269">
          <cell r="B7269">
            <v>40830</v>
          </cell>
          <cell r="C7269">
            <v>1909.12</v>
          </cell>
        </row>
        <row r="7270">
          <cell r="B7270">
            <v>40831</v>
          </cell>
          <cell r="C7270">
            <v>1895.33</v>
          </cell>
        </row>
        <row r="7271">
          <cell r="B7271">
            <v>40832</v>
          </cell>
          <cell r="C7271">
            <v>1895.33</v>
          </cell>
        </row>
        <row r="7272">
          <cell r="B7272">
            <v>40833</v>
          </cell>
          <cell r="C7272">
            <v>1895.33</v>
          </cell>
        </row>
        <row r="7273">
          <cell r="B7273">
            <v>40834</v>
          </cell>
          <cell r="C7273">
            <v>1895.33</v>
          </cell>
        </row>
        <row r="7274">
          <cell r="B7274">
            <v>40835</v>
          </cell>
          <cell r="C7274">
            <v>1902.47</v>
          </cell>
        </row>
        <row r="7275">
          <cell r="B7275">
            <v>40836</v>
          </cell>
          <cell r="C7275">
            <v>1900.1</v>
          </cell>
        </row>
        <row r="7276">
          <cell r="B7276">
            <v>40837</v>
          </cell>
          <cell r="C7276">
            <v>1905.95</v>
          </cell>
        </row>
        <row r="7277">
          <cell r="B7277">
            <v>40838</v>
          </cell>
          <cell r="C7277">
            <v>1897.45</v>
          </cell>
        </row>
        <row r="7278">
          <cell r="B7278">
            <v>40839</v>
          </cell>
          <cell r="C7278">
            <v>1897.45</v>
          </cell>
        </row>
        <row r="7279">
          <cell r="B7279">
            <v>40840</v>
          </cell>
          <cell r="C7279">
            <v>1897.45</v>
          </cell>
        </row>
        <row r="7280">
          <cell r="B7280">
            <v>40841</v>
          </cell>
          <cell r="C7280">
            <v>1878.78</v>
          </cell>
        </row>
        <row r="7281">
          <cell r="B7281">
            <v>40842</v>
          </cell>
          <cell r="C7281">
            <v>1875.55</v>
          </cell>
        </row>
        <row r="7282">
          <cell r="B7282">
            <v>40843</v>
          </cell>
          <cell r="C7282">
            <v>1878.1</v>
          </cell>
        </row>
        <row r="7283">
          <cell r="B7283">
            <v>40844</v>
          </cell>
          <cell r="C7283">
            <v>1862.84</v>
          </cell>
        </row>
        <row r="7284">
          <cell r="B7284">
            <v>40845</v>
          </cell>
          <cell r="C7284">
            <v>1863.06</v>
          </cell>
        </row>
        <row r="7285">
          <cell r="B7285">
            <v>40846</v>
          </cell>
          <cell r="C7285">
            <v>1863.06</v>
          </cell>
        </row>
        <row r="7286">
          <cell r="B7286">
            <v>40847</v>
          </cell>
          <cell r="C7286">
            <v>1863.06</v>
          </cell>
        </row>
        <row r="7287">
          <cell r="B7287">
            <v>40848</v>
          </cell>
          <cell r="C7287">
            <v>1871.49</v>
          </cell>
        </row>
        <row r="7288">
          <cell r="B7288">
            <v>40849</v>
          </cell>
          <cell r="C7288">
            <v>1891.38</v>
          </cell>
        </row>
        <row r="7289">
          <cell r="B7289">
            <v>40850</v>
          </cell>
          <cell r="C7289">
            <v>1889.66</v>
          </cell>
        </row>
        <row r="7290">
          <cell r="B7290">
            <v>40851</v>
          </cell>
          <cell r="C7290">
            <v>1905.38</v>
          </cell>
        </row>
        <row r="7291">
          <cell r="B7291">
            <v>40852</v>
          </cell>
          <cell r="C7291">
            <v>1915.72</v>
          </cell>
        </row>
        <row r="7292">
          <cell r="B7292">
            <v>40853</v>
          </cell>
          <cell r="C7292">
            <v>1915.72</v>
          </cell>
        </row>
        <row r="7293">
          <cell r="B7293">
            <v>40854</v>
          </cell>
          <cell r="C7293">
            <v>1915.72</v>
          </cell>
        </row>
        <row r="7294">
          <cell r="B7294">
            <v>40855</v>
          </cell>
          <cell r="C7294">
            <v>1915.72</v>
          </cell>
        </row>
        <row r="7295">
          <cell r="B7295">
            <v>40856</v>
          </cell>
          <cell r="C7295">
            <v>1908.71</v>
          </cell>
        </row>
        <row r="7296">
          <cell r="B7296">
            <v>40857</v>
          </cell>
          <cell r="C7296">
            <v>1917.69</v>
          </cell>
        </row>
        <row r="7297">
          <cell r="B7297">
            <v>40858</v>
          </cell>
          <cell r="C7297">
            <v>1913.65</v>
          </cell>
        </row>
        <row r="7298">
          <cell r="B7298">
            <v>40859</v>
          </cell>
          <cell r="C7298">
            <v>1913.65</v>
          </cell>
        </row>
        <row r="7299">
          <cell r="B7299">
            <v>40860</v>
          </cell>
          <cell r="C7299">
            <v>1913.65</v>
          </cell>
        </row>
        <row r="7300">
          <cell r="B7300">
            <v>40861</v>
          </cell>
          <cell r="C7300">
            <v>1913.65</v>
          </cell>
        </row>
        <row r="7301">
          <cell r="B7301">
            <v>40862</v>
          </cell>
          <cell r="C7301">
            <v>1913.65</v>
          </cell>
        </row>
        <row r="7302">
          <cell r="B7302">
            <v>40863</v>
          </cell>
          <cell r="C7302">
            <v>1915.41</v>
          </cell>
        </row>
        <row r="7303">
          <cell r="B7303">
            <v>40864</v>
          </cell>
          <cell r="C7303">
            <v>1912.2</v>
          </cell>
        </row>
        <row r="7304">
          <cell r="B7304">
            <v>40865</v>
          </cell>
          <cell r="C7304">
            <v>1910.83</v>
          </cell>
        </row>
        <row r="7305">
          <cell r="B7305">
            <v>40866</v>
          </cell>
          <cell r="C7305">
            <v>1917.45</v>
          </cell>
        </row>
        <row r="7306">
          <cell r="B7306">
            <v>40867</v>
          </cell>
          <cell r="C7306">
            <v>1917.45</v>
          </cell>
        </row>
        <row r="7307">
          <cell r="B7307">
            <v>40868</v>
          </cell>
          <cell r="C7307">
            <v>1917.45</v>
          </cell>
        </row>
        <row r="7308">
          <cell r="B7308">
            <v>40869</v>
          </cell>
          <cell r="C7308">
            <v>1928.47</v>
          </cell>
        </row>
        <row r="7309">
          <cell r="B7309">
            <v>40870</v>
          </cell>
          <cell r="C7309">
            <v>1925.39</v>
          </cell>
        </row>
        <row r="7310">
          <cell r="B7310">
            <v>40871</v>
          </cell>
          <cell r="C7310">
            <v>1932.63</v>
          </cell>
        </row>
        <row r="7311">
          <cell r="B7311">
            <v>40872</v>
          </cell>
          <cell r="C7311">
            <v>1932.63</v>
          </cell>
        </row>
        <row r="7312">
          <cell r="B7312">
            <v>40873</v>
          </cell>
          <cell r="C7312">
            <v>1948.48</v>
          </cell>
        </row>
        <row r="7313">
          <cell r="B7313">
            <v>40874</v>
          </cell>
          <cell r="C7313">
            <v>1948.48</v>
          </cell>
        </row>
        <row r="7314">
          <cell r="B7314">
            <v>40875</v>
          </cell>
          <cell r="C7314">
            <v>1948.48</v>
          </cell>
        </row>
        <row r="7315">
          <cell r="B7315">
            <v>40876</v>
          </cell>
          <cell r="C7315">
            <v>1946.28</v>
          </cell>
        </row>
        <row r="7316">
          <cell r="B7316">
            <v>40877</v>
          </cell>
          <cell r="C7316">
            <v>1967.18</v>
          </cell>
        </row>
        <row r="7317">
          <cell r="B7317">
            <v>40878</v>
          </cell>
          <cell r="C7317">
            <v>1948.51</v>
          </cell>
        </row>
        <row r="7318">
          <cell r="B7318">
            <v>40879</v>
          </cell>
          <cell r="C7318">
            <v>1949.56</v>
          </cell>
        </row>
        <row r="7319">
          <cell r="B7319">
            <v>40880</v>
          </cell>
          <cell r="C7319">
            <v>1938.83</v>
          </cell>
        </row>
        <row r="7320">
          <cell r="B7320">
            <v>40881</v>
          </cell>
          <cell r="C7320">
            <v>1938.83</v>
          </cell>
        </row>
        <row r="7321">
          <cell r="B7321">
            <v>40882</v>
          </cell>
          <cell r="C7321">
            <v>1938.83</v>
          </cell>
        </row>
        <row r="7322">
          <cell r="B7322">
            <v>40883</v>
          </cell>
          <cell r="C7322">
            <v>1936.29</v>
          </cell>
        </row>
        <row r="7323">
          <cell r="B7323">
            <v>40884</v>
          </cell>
          <cell r="C7323">
            <v>1936.11</v>
          </cell>
        </row>
        <row r="7324">
          <cell r="B7324">
            <v>40885</v>
          </cell>
          <cell r="C7324">
            <v>1930.57</v>
          </cell>
        </row>
        <row r="7325">
          <cell r="B7325">
            <v>40886</v>
          </cell>
          <cell r="C7325">
            <v>1930.57</v>
          </cell>
        </row>
        <row r="7326">
          <cell r="B7326">
            <v>40887</v>
          </cell>
          <cell r="C7326">
            <v>1927.1</v>
          </cell>
        </row>
        <row r="7327">
          <cell r="B7327">
            <v>40888</v>
          </cell>
          <cell r="C7327">
            <v>1927.1</v>
          </cell>
        </row>
        <row r="7328">
          <cell r="B7328">
            <v>40889</v>
          </cell>
          <cell r="C7328">
            <v>1927.1</v>
          </cell>
        </row>
        <row r="7329">
          <cell r="B7329">
            <v>40890</v>
          </cell>
          <cell r="C7329">
            <v>1932.3</v>
          </cell>
        </row>
        <row r="7330">
          <cell r="B7330">
            <v>40891</v>
          </cell>
          <cell r="C7330">
            <v>1929.01</v>
          </cell>
        </row>
        <row r="7331">
          <cell r="B7331">
            <v>40892</v>
          </cell>
          <cell r="C7331">
            <v>1937.6</v>
          </cell>
        </row>
        <row r="7332">
          <cell r="B7332">
            <v>40893</v>
          </cell>
          <cell r="C7332">
            <v>1935.96</v>
          </cell>
        </row>
        <row r="7333">
          <cell r="B7333">
            <v>40894</v>
          </cell>
          <cell r="C7333">
            <v>1935.64</v>
          </cell>
        </row>
        <row r="7334">
          <cell r="B7334">
            <v>40895</v>
          </cell>
          <cell r="C7334">
            <v>1935.64</v>
          </cell>
        </row>
        <row r="7335">
          <cell r="B7335">
            <v>40896</v>
          </cell>
          <cell r="C7335">
            <v>1935.64</v>
          </cell>
        </row>
        <row r="7336">
          <cell r="B7336">
            <v>40897</v>
          </cell>
          <cell r="C7336">
            <v>1939.39</v>
          </cell>
        </row>
        <row r="7337">
          <cell r="B7337">
            <v>40898</v>
          </cell>
          <cell r="C7337">
            <v>1932.08</v>
          </cell>
        </row>
        <row r="7338">
          <cell r="B7338">
            <v>40899</v>
          </cell>
          <cell r="C7338">
            <v>1935.72</v>
          </cell>
        </row>
        <row r="7339">
          <cell r="B7339">
            <v>40900</v>
          </cell>
          <cell r="C7339">
            <v>1927.71</v>
          </cell>
        </row>
        <row r="7340">
          <cell r="B7340">
            <v>40901</v>
          </cell>
          <cell r="C7340">
            <v>1920.93</v>
          </cell>
        </row>
        <row r="7341">
          <cell r="B7341">
            <v>40902</v>
          </cell>
          <cell r="C7341">
            <v>1920.93</v>
          </cell>
        </row>
        <row r="7342">
          <cell r="B7342">
            <v>40903</v>
          </cell>
          <cell r="C7342">
            <v>1920.93</v>
          </cell>
        </row>
        <row r="7343">
          <cell r="B7343">
            <v>40904</v>
          </cell>
          <cell r="C7343">
            <v>1920.93</v>
          </cell>
        </row>
        <row r="7344">
          <cell r="B7344">
            <v>40905</v>
          </cell>
          <cell r="C7344">
            <v>1920.16</v>
          </cell>
        </row>
        <row r="7345">
          <cell r="B7345">
            <v>40906</v>
          </cell>
          <cell r="C7345">
            <v>1938.52</v>
          </cell>
        </row>
        <row r="7346">
          <cell r="B7346">
            <v>40907</v>
          </cell>
          <cell r="C7346">
            <v>1942.7</v>
          </cell>
        </row>
        <row r="7347">
          <cell r="B7347">
            <v>40908</v>
          </cell>
          <cell r="C7347">
            <v>1942.7</v>
          </cell>
        </row>
        <row r="7348">
          <cell r="B7348">
            <v>40909</v>
          </cell>
          <cell r="C7348">
            <v>1942.7</v>
          </cell>
        </row>
        <row r="7349">
          <cell r="B7349">
            <v>40910</v>
          </cell>
          <cell r="C7349">
            <v>1942.7</v>
          </cell>
        </row>
        <row r="7350">
          <cell r="B7350">
            <v>40911</v>
          </cell>
          <cell r="C7350">
            <v>1942.7</v>
          </cell>
        </row>
        <row r="7351">
          <cell r="B7351">
            <v>40912</v>
          </cell>
          <cell r="C7351">
            <v>1915.02</v>
          </cell>
        </row>
        <row r="7352">
          <cell r="B7352">
            <v>40913</v>
          </cell>
          <cell r="C7352">
            <v>1898.24</v>
          </cell>
        </row>
        <row r="7353">
          <cell r="B7353">
            <v>40914</v>
          </cell>
          <cell r="C7353">
            <v>1884.44</v>
          </cell>
        </row>
        <row r="7354">
          <cell r="B7354">
            <v>40915</v>
          </cell>
          <cell r="C7354">
            <v>1884.47</v>
          </cell>
        </row>
        <row r="7355">
          <cell r="B7355">
            <v>40916</v>
          </cell>
          <cell r="C7355">
            <v>1884.47</v>
          </cell>
        </row>
        <row r="7356">
          <cell r="B7356">
            <v>40917</v>
          </cell>
          <cell r="C7356">
            <v>1884.47</v>
          </cell>
        </row>
        <row r="7357">
          <cell r="B7357">
            <v>40918</v>
          </cell>
          <cell r="C7357">
            <v>1884.47</v>
          </cell>
        </row>
        <row r="7358">
          <cell r="B7358">
            <v>40919</v>
          </cell>
          <cell r="C7358">
            <v>1865.07</v>
          </cell>
        </row>
        <row r="7359">
          <cell r="B7359">
            <v>40920</v>
          </cell>
          <cell r="C7359">
            <v>1854.17</v>
          </cell>
        </row>
        <row r="7360">
          <cell r="B7360">
            <v>40921</v>
          </cell>
          <cell r="C7360">
            <v>1842.47</v>
          </cell>
        </row>
        <row r="7361">
          <cell r="B7361">
            <v>40922</v>
          </cell>
          <cell r="C7361">
            <v>1841.31</v>
          </cell>
        </row>
        <row r="7362">
          <cell r="B7362">
            <v>40923</v>
          </cell>
          <cell r="C7362">
            <v>1841.31</v>
          </cell>
        </row>
        <row r="7363">
          <cell r="B7363">
            <v>40924</v>
          </cell>
          <cell r="C7363">
            <v>1841.31</v>
          </cell>
        </row>
        <row r="7364">
          <cell r="B7364">
            <v>40925</v>
          </cell>
          <cell r="C7364">
            <v>1841.31</v>
          </cell>
        </row>
        <row r="7365">
          <cell r="B7365">
            <v>40926</v>
          </cell>
          <cell r="C7365">
            <v>1836.34</v>
          </cell>
        </row>
        <row r="7366">
          <cell r="B7366">
            <v>40927</v>
          </cell>
          <cell r="C7366">
            <v>1827.24</v>
          </cell>
        </row>
        <row r="7367">
          <cell r="B7367">
            <v>40928</v>
          </cell>
          <cell r="C7367">
            <v>1821.86</v>
          </cell>
        </row>
        <row r="7368">
          <cell r="B7368">
            <v>40929</v>
          </cell>
          <cell r="C7368">
            <v>1828.75</v>
          </cell>
        </row>
        <row r="7369">
          <cell r="B7369">
            <v>40930</v>
          </cell>
          <cell r="C7369">
            <v>1828.75</v>
          </cell>
        </row>
        <row r="7370">
          <cell r="B7370">
            <v>40931</v>
          </cell>
          <cell r="C7370">
            <v>1828.75</v>
          </cell>
        </row>
        <row r="7371">
          <cell r="B7371">
            <v>40932</v>
          </cell>
          <cell r="C7371">
            <v>1811.55</v>
          </cell>
        </row>
        <row r="7372">
          <cell r="B7372">
            <v>40933</v>
          </cell>
          <cell r="C7372">
            <v>1814.58</v>
          </cell>
        </row>
        <row r="7373">
          <cell r="B7373">
            <v>40934</v>
          </cell>
          <cell r="C7373">
            <v>1814.69</v>
          </cell>
        </row>
        <row r="7374">
          <cell r="B7374">
            <v>40935</v>
          </cell>
          <cell r="C7374">
            <v>1801.88</v>
          </cell>
        </row>
        <row r="7375">
          <cell r="B7375">
            <v>40936</v>
          </cell>
          <cell r="C7375">
            <v>1810.55</v>
          </cell>
        </row>
        <row r="7376">
          <cell r="B7376">
            <v>40937</v>
          </cell>
          <cell r="C7376">
            <v>1810.55</v>
          </cell>
        </row>
        <row r="7377">
          <cell r="B7377">
            <v>40938</v>
          </cell>
          <cell r="C7377">
            <v>1810.55</v>
          </cell>
        </row>
        <row r="7378">
          <cell r="B7378">
            <v>40939</v>
          </cell>
          <cell r="C7378">
            <v>1815.08</v>
          </cell>
        </row>
        <row r="7379">
          <cell r="B7379">
            <v>40940</v>
          </cell>
          <cell r="C7379">
            <v>1805.98</v>
          </cell>
        </row>
        <row r="7380">
          <cell r="B7380">
            <v>40941</v>
          </cell>
          <cell r="C7380">
            <v>1797.68</v>
          </cell>
        </row>
        <row r="7381">
          <cell r="B7381">
            <v>40942</v>
          </cell>
          <cell r="C7381">
            <v>1795.55</v>
          </cell>
        </row>
        <row r="7382">
          <cell r="B7382">
            <v>40943</v>
          </cell>
          <cell r="C7382">
            <v>1784.77</v>
          </cell>
        </row>
        <row r="7383">
          <cell r="B7383">
            <v>40944</v>
          </cell>
          <cell r="C7383">
            <v>1784.77</v>
          </cell>
        </row>
        <row r="7384">
          <cell r="B7384">
            <v>40945</v>
          </cell>
          <cell r="C7384">
            <v>1784.77</v>
          </cell>
        </row>
        <row r="7385">
          <cell r="B7385">
            <v>40946</v>
          </cell>
          <cell r="C7385">
            <v>1787.96</v>
          </cell>
        </row>
        <row r="7386">
          <cell r="B7386">
            <v>40947</v>
          </cell>
          <cell r="C7386">
            <v>1783.34</v>
          </cell>
        </row>
        <row r="7387">
          <cell r="B7387">
            <v>40948</v>
          </cell>
          <cell r="C7387">
            <v>1778.9</v>
          </cell>
        </row>
        <row r="7388">
          <cell r="B7388">
            <v>40949</v>
          </cell>
          <cell r="C7388">
            <v>1774.96</v>
          </cell>
        </row>
        <row r="7389">
          <cell r="B7389">
            <v>40950</v>
          </cell>
          <cell r="C7389">
            <v>1785.59</v>
          </cell>
        </row>
        <row r="7390">
          <cell r="B7390">
            <v>40951</v>
          </cell>
          <cell r="C7390">
            <v>1785.59</v>
          </cell>
        </row>
        <row r="7391">
          <cell r="B7391">
            <v>40952</v>
          </cell>
          <cell r="C7391">
            <v>1785.59</v>
          </cell>
        </row>
        <row r="7392">
          <cell r="B7392">
            <v>40953</v>
          </cell>
          <cell r="C7392">
            <v>1778.12</v>
          </cell>
        </row>
        <row r="7393">
          <cell r="B7393">
            <v>40954</v>
          </cell>
          <cell r="C7393">
            <v>1785.24</v>
          </cell>
        </row>
        <row r="7394">
          <cell r="B7394">
            <v>40955</v>
          </cell>
          <cell r="C7394">
            <v>1791.29</v>
          </cell>
        </row>
        <row r="7395">
          <cell r="B7395">
            <v>40956</v>
          </cell>
          <cell r="C7395">
            <v>1792.92</v>
          </cell>
        </row>
        <row r="7396">
          <cell r="B7396">
            <v>40957</v>
          </cell>
          <cell r="C7396">
            <v>1779.81</v>
          </cell>
        </row>
        <row r="7397">
          <cell r="B7397">
            <v>40958</v>
          </cell>
          <cell r="C7397">
            <v>1779.81</v>
          </cell>
        </row>
        <row r="7398">
          <cell r="B7398">
            <v>40959</v>
          </cell>
          <cell r="C7398">
            <v>1779.81</v>
          </cell>
        </row>
        <row r="7399">
          <cell r="B7399">
            <v>40960</v>
          </cell>
          <cell r="C7399">
            <v>1779.81</v>
          </cell>
        </row>
        <row r="7400">
          <cell r="B7400">
            <v>40961</v>
          </cell>
          <cell r="C7400">
            <v>1777.59</v>
          </cell>
        </row>
        <row r="7401">
          <cell r="B7401">
            <v>40962</v>
          </cell>
          <cell r="C7401">
            <v>1781.57</v>
          </cell>
        </row>
        <row r="7402">
          <cell r="B7402">
            <v>40963</v>
          </cell>
          <cell r="C7402">
            <v>1776.11</v>
          </cell>
        </row>
        <row r="7403">
          <cell r="B7403">
            <v>40964</v>
          </cell>
          <cell r="C7403">
            <v>1772.42</v>
          </cell>
        </row>
        <row r="7404">
          <cell r="B7404">
            <v>40965</v>
          </cell>
          <cell r="C7404">
            <v>1772.42</v>
          </cell>
        </row>
        <row r="7405">
          <cell r="B7405">
            <v>40966</v>
          </cell>
          <cell r="C7405">
            <v>1772.42</v>
          </cell>
        </row>
        <row r="7406">
          <cell r="B7406">
            <v>40967</v>
          </cell>
          <cell r="C7406">
            <v>1777.27</v>
          </cell>
        </row>
        <row r="7407">
          <cell r="B7407">
            <v>40968</v>
          </cell>
          <cell r="C7407">
            <v>1767.83</v>
          </cell>
        </row>
        <row r="7408">
          <cell r="B7408">
            <v>40969</v>
          </cell>
          <cell r="C7408">
            <v>1766.85</v>
          </cell>
        </row>
        <row r="7409">
          <cell r="B7409">
            <v>40970</v>
          </cell>
          <cell r="C7409">
            <v>1770.7</v>
          </cell>
        </row>
        <row r="7410">
          <cell r="B7410">
            <v>40971</v>
          </cell>
          <cell r="C7410">
            <v>1775.69</v>
          </cell>
        </row>
        <row r="7411">
          <cell r="B7411">
            <v>40972</v>
          </cell>
          <cell r="C7411">
            <v>1775.69</v>
          </cell>
        </row>
        <row r="7412">
          <cell r="B7412">
            <v>40973</v>
          </cell>
          <cell r="C7412">
            <v>1775.69</v>
          </cell>
        </row>
        <row r="7413">
          <cell r="B7413">
            <v>40974</v>
          </cell>
          <cell r="C7413">
            <v>1774.03</v>
          </cell>
        </row>
        <row r="7414">
          <cell r="B7414">
            <v>40975</v>
          </cell>
          <cell r="C7414">
            <v>1779.32</v>
          </cell>
        </row>
        <row r="7415">
          <cell r="B7415">
            <v>40976</v>
          </cell>
          <cell r="C7415">
            <v>1773.88</v>
          </cell>
        </row>
        <row r="7416">
          <cell r="B7416">
            <v>40977</v>
          </cell>
          <cell r="C7416">
            <v>1765.06</v>
          </cell>
        </row>
        <row r="7417">
          <cell r="B7417">
            <v>40978</v>
          </cell>
          <cell r="C7417">
            <v>1762.08</v>
          </cell>
        </row>
        <row r="7418">
          <cell r="B7418">
            <v>40979</v>
          </cell>
          <cell r="C7418">
            <v>1762.08</v>
          </cell>
        </row>
        <row r="7419">
          <cell r="B7419">
            <v>40980</v>
          </cell>
          <cell r="C7419">
            <v>1762.08</v>
          </cell>
        </row>
        <row r="7420">
          <cell r="B7420">
            <v>40981</v>
          </cell>
          <cell r="C7420">
            <v>1766.1</v>
          </cell>
        </row>
        <row r="7421">
          <cell r="B7421">
            <v>40982</v>
          </cell>
          <cell r="C7421">
            <v>1760.77</v>
          </cell>
        </row>
        <row r="7422">
          <cell r="B7422">
            <v>40983</v>
          </cell>
          <cell r="C7422">
            <v>1761.04</v>
          </cell>
        </row>
        <row r="7423">
          <cell r="B7423">
            <v>40984</v>
          </cell>
          <cell r="C7423">
            <v>1761.02</v>
          </cell>
        </row>
        <row r="7424">
          <cell r="B7424">
            <v>40985</v>
          </cell>
          <cell r="C7424">
            <v>1758.38</v>
          </cell>
        </row>
        <row r="7425">
          <cell r="B7425">
            <v>40986</v>
          </cell>
          <cell r="C7425">
            <v>1758.38</v>
          </cell>
        </row>
        <row r="7426">
          <cell r="B7426">
            <v>40987</v>
          </cell>
          <cell r="C7426">
            <v>1758.38</v>
          </cell>
        </row>
        <row r="7427">
          <cell r="B7427">
            <v>40988</v>
          </cell>
          <cell r="C7427">
            <v>1758.38</v>
          </cell>
        </row>
        <row r="7428">
          <cell r="B7428">
            <v>40989</v>
          </cell>
          <cell r="C7428">
            <v>1759.78</v>
          </cell>
        </row>
        <row r="7429">
          <cell r="B7429">
            <v>40990</v>
          </cell>
          <cell r="C7429">
            <v>1758.03</v>
          </cell>
        </row>
        <row r="7430">
          <cell r="B7430">
            <v>40991</v>
          </cell>
          <cell r="C7430">
            <v>1761.87</v>
          </cell>
        </row>
        <row r="7431">
          <cell r="B7431">
            <v>40992</v>
          </cell>
          <cell r="C7431">
            <v>1760.17</v>
          </cell>
        </row>
        <row r="7432">
          <cell r="B7432">
            <v>40993</v>
          </cell>
          <cell r="C7432">
            <v>1760.17</v>
          </cell>
        </row>
        <row r="7433">
          <cell r="B7433">
            <v>40994</v>
          </cell>
          <cell r="C7433">
            <v>1760.17</v>
          </cell>
        </row>
        <row r="7434">
          <cell r="B7434">
            <v>40995</v>
          </cell>
          <cell r="C7434">
            <v>1759.58</v>
          </cell>
        </row>
        <row r="7435">
          <cell r="B7435">
            <v>40996</v>
          </cell>
          <cell r="C7435">
            <v>1762.93</v>
          </cell>
        </row>
        <row r="7436">
          <cell r="B7436">
            <v>40997</v>
          </cell>
          <cell r="C7436">
            <v>1771.25</v>
          </cell>
        </row>
        <row r="7437">
          <cell r="B7437">
            <v>40998</v>
          </cell>
          <cell r="C7437">
            <v>1784.66</v>
          </cell>
        </row>
        <row r="7438">
          <cell r="B7438">
            <v>40999</v>
          </cell>
          <cell r="C7438">
            <v>1792.07</v>
          </cell>
        </row>
        <row r="7439">
          <cell r="B7439">
            <v>41000</v>
          </cell>
          <cell r="C7439">
            <v>1792.07</v>
          </cell>
        </row>
        <row r="7440">
          <cell r="B7440">
            <v>41001</v>
          </cell>
          <cell r="C7440">
            <v>1792.07</v>
          </cell>
        </row>
        <row r="7441">
          <cell r="B7441">
            <v>41002</v>
          </cell>
          <cell r="C7441">
            <v>1779.13</v>
          </cell>
        </row>
        <row r="7442">
          <cell r="B7442">
            <v>41003</v>
          </cell>
          <cell r="C7442">
            <v>1767.84</v>
          </cell>
        </row>
        <row r="7443">
          <cell r="B7443">
            <v>41004</v>
          </cell>
          <cell r="C7443">
            <v>1772.58</v>
          </cell>
        </row>
        <row r="7444">
          <cell r="B7444">
            <v>41005</v>
          </cell>
          <cell r="C7444">
            <v>1772.58</v>
          </cell>
        </row>
        <row r="7445">
          <cell r="B7445">
            <v>41006</v>
          </cell>
          <cell r="C7445">
            <v>1772.58</v>
          </cell>
        </row>
        <row r="7446">
          <cell r="B7446">
            <v>41007</v>
          </cell>
          <cell r="C7446">
            <v>1772.58</v>
          </cell>
        </row>
        <row r="7447">
          <cell r="B7447">
            <v>41008</v>
          </cell>
          <cell r="C7447">
            <v>1772.58</v>
          </cell>
        </row>
        <row r="7448">
          <cell r="B7448">
            <v>41009</v>
          </cell>
          <cell r="C7448">
            <v>1779.53</v>
          </cell>
        </row>
        <row r="7449">
          <cell r="B7449">
            <v>41010</v>
          </cell>
          <cell r="C7449">
            <v>1793.3</v>
          </cell>
        </row>
        <row r="7450">
          <cell r="B7450">
            <v>41011</v>
          </cell>
          <cell r="C7450">
            <v>1787.66</v>
          </cell>
        </row>
        <row r="7451">
          <cell r="B7451">
            <v>41012</v>
          </cell>
          <cell r="C7451">
            <v>1778.78</v>
          </cell>
        </row>
        <row r="7452">
          <cell r="B7452">
            <v>41013</v>
          </cell>
          <cell r="C7452">
            <v>1777.12</v>
          </cell>
        </row>
        <row r="7453">
          <cell r="B7453">
            <v>41014</v>
          </cell>
          <cell r="C7453">
            <v>1777.12</v>
          </cell>
        </row>
        <row r="7454">
          <cell r="B7454">
            <v>41015</v>
          </cell>
          <cell r="C7454">
            <v>1777.12</v>
          </cell>
        </row>
        <row r="7455">
          <cell r="B7455">
            <v>41016</v>
          </cell>
          <cell r="C7455">
            <v>1775.67</v>
          </cell>
        </row>
        <row r="7456">
          <cell r="B7456">
            <v>41017</v>
          </cell>
          <cell r="C7456">
            <v>1769.07</v>
          </cell>
        </row>
        <row r="7457">
          <cell r="B7457">
            <v>41018</v>
          </cell>
          <cell r="C7457">
            <v>1774.21</v>
          </cell>
        </row>
        <row r="7458">
          <cell r="B7458">
            <v>41019</v>
          </cell>
          <cell r="C7458">
            <v>1776.06</v>
          </cell>
        </row>
        <row r="7459">
          <cell r="B7459">
            <v>41020</v>
          </cell>
          <cell r="C7459">
            <v>1771.13</v>
          </cell>
        </row>
        <row r="7460">
          <cell r="B7460">
            <v>41021</v>
          </cell>
          <cell r="C7460">
            <v>1771.13</v>
          </cell>
        </row>
        <row r="7461">
          <cell r="B7461">
            <v>41022</v>
          </cell>
          <cell r="C7461">
            <v>1771.13</v>
          </cell>
        </row>
        <row r="7462">
          <cell r="B7462">
            <v>41023</v>
          </cell>
          <cell r="C7462">
            <v>1774.44</v>
          </cell>
        </row>
        <row r="7463">
          <cell r="B7463">
            <v>41024</v>
          </cell>
          <cell r="C7463">
            <v>1767.91</v>
          </cell>
        </row>
        <row r="7464">
          <cell r="B7464">
            <v>41025</v>
          </cell>
          <cell r="C7464">
            <v>1763.85</v>
          </cell>
        </row>
        <row r="7465">
          <cell r="B7465">
            <v>41026</v>
          </cell>
          <cell r="C7465">
            <v>1764.63</v>
          </cell>
        </row>
        <row r="7466">
          <cell r="B7466">
            <v>41027</v>
          </cell>
          <cell r="C7466">
            <v>1761.2</v>
          </cell>
        </row>
        <row r="7467">
          <cell r="B7467">
            <v>41028</v>
          </cell>
          <cell r="C7467">
            <v>1761.2</v>
          </cell>
        </row>
        <row r="7468">
          <cell r="B7468">
            <v>41029</v>
          </cell>
          <cell r="C7468">
            <v>1761.2</v>
          </cell>
        </row>
        <row r="7469">
          <cell r="B7469">
            <v>41030</v>
          </cell>
          <cell r="C7469">
            <v>1764</v>
          </cell>
        </row>
        <row r="7470">
          <cell r="B7470">
            <v>41031</v>
          </cell>
          <cell r="C7470">
            <v>1764</v>
          </cell>
        </row>
        <row r="7471">
          <cell r="B7471">
            <v>41032</v>
          </cell>
          <cell r="C7471">
            <v>1760.12</v>
          </cell>
        </row>
        <row r="7472">
          <cell r="B7472">
            <v>41033</v>
          </cell>
          <cell r="C7472">
            <v>1754.89</v>
          </cell>
        </row>
        <row r="7473">
          <cell r="B7473">
            <v>41034</v>
          </cell>
          <cell r="C7473">
            <v>1757.24</v>
          </cell>
        </row>
        <row r="7474">
          <cell r="B7474">
            <v>41035</v>
          </cell>
          <cell r="C7474">
            <v>1757.24</v>
          </cell>
        </row>
        <row r="7475">
          <cell r="B7475">
            <v>41036</v>
          </cell>
          <cell r="C7475">
            <v>1757.24</v>
          </cell>
        </row>
        <row r="7476">
          <cell r="B7476">
            <v>41037</v>
          </cell>
          <cell r="C7476">
            <v>1759.12</v>
          </cell>
        </row>
        <row r="7477">
          <cell r="B7477">
            <v>41038</v>
          </cell>
          <cell r="C7477">
            <v>1760.6</v>
          </cell>
        </row>
        <row r="7478">
          <cell r="B7478">
            <v>41039</v>
          </cell>
          <cell r="C7478">
            <v>1775.96</v>
          </cell>
        </row>
        <row r="7479">
          <cell r="B7479">
            <v>41040</v>
          </cell>
          <cell r="C7479">
            <v>1765</v>
          </cell>
        </row>
        <row r="7480">
          <cell r="B7480">
            <v>41041</v>
          </cell>
          <cell r="C7480">
            <v>1764.69</v>
          </cell>
        </row>
        <row r="7481">
          <cell r="B7481">
            <v>41042</v>
          </cell>
          <cell r="C7481">
            <v>1764.69</v>
          </cell>
        </row>
        <row r="7482">
          <cell r="B7482">
            <v>41043</v>
          </cell>
          <cell r="C7482">
            <v>1764.69</v>
          </cell>
        </row>
        <row r="7483">
          <cell r="B7483">
            <v>41044</v>
          </cell>
          <cell r="C7483">
            <v>1771.6</v>
          </cell>
        </row>
        <row r="7484">
          <cell r="B7484">
            <v>41045</v>
          </cell>
          <cell r="C7484">
            <v>1778.37</v>
          </cell>
        </row>
        <row r="7485">
          <cell r="B7485">
            <v>41046</v>
          </cell>
          <cell r="C7485">
            <v>1793.61</v>
          </cell>
        </row>
        <row r="7486">
          <cell r="B7486">
            <v>41047</v>
          </cell>
          <cell r="C7486">
            <v>1804.92</v>
          </cell>
        </row>
        <row r="7487">
          <cell r="B7487">
            <v>41048</v>
          </cell>
          <cell r="C7487">
            <v>1814.46</v>
          </cell>
        </row>
        <row r="7488">
          <cell r="B7488">
            <v>41049</v>
          </cell>
          <cell r="C7488">
            <v>1814.46</v>
          </cell>
        </row>
        <row r="7489">
          <cell r="B7489">
            <v>41050</v>
          </cell>
          <cell r="C7489">
            <v>1814.46</v>
          </cell>
        </row>
        <row r="7490">
          <cell r="B7490">
            <v>41051</v>
          </cell>
          <cell r="C7490">
            <v>1814.46</v>
          </cell>
        </row>
        <row r="7491">
          <cell r="B7491">
            <v>41052</v>
          </cell>
          <cell r="C7491">
            <v>1824.73</v>
          </cell>
        </row>
        <row r="7492">
          <cell r="B7492">
            <v>41053</v>
          </cell>
          <cell r="C7492">
            <v>1845.17</v>
          </cell>
        </row>
        <row r="7493">
          <cell r="B7493">
            <v>41054</v>
          </cell>
          <cell r="C7493">
            <v>1836.45</v>
          </cell>
        </row>
        <row r="7494">
          <cell r="B7494">
            <v>41055</v>
          </cell>
          <cell r="C7494">
            <v>1840.69</v>
          </cell>
        </row>
        <row r="7495">
          <cell r="B7495">
            <v>41056</v>
          </cell>
          <cell r="C7495">
            <v>1840.69</v>
          </cell>
        </row>
        <row r="7496">
          <cell r="B7496">
            <v>41057</v>
          </cell>
          <cell r="C7496">
            <v>1840.69</v>
          </cell>
        </row>
        <row r="7497">
          <cell r="B7497">
            <v>41058</v>
          </cell>
          <cell r="C7497">
            <v>1840.69</v>
          </cell>
        </row>
        <row r="7498">
          <cell r="B7498">
            <v>41059</v>
          </cell>
          <cell r="C7498">
            <v>1818.82</v>
          </cell>
        </row>
        <row r="7499">
          <cell r="B7499">
            <v>41060</v>
          </cell>
          <cell r="C7499">
            <v>1827.83</v>
          </cell>
        </row>
        <row r="7500">
          <cell r="B7500">
            <v>41061</v>
          </cell>
          <cell r="C7500">
            <v>1833.8</v>
          </cell>
        </row>
        <row r="7501">
          <cell r="B7501">
            <v>41062</v>
          </cell>
          <cell r="C7501">
            <v>1834.71</v>
          </cell>
        </row>
        <row r="7502">
          <cell r="B7502">
            <v>41063</v>
          </cell>
          <cell r="C7502">
            <v>1834.71</v>
          </cell>
        </row>
        <row r="7503">
          <cell r="B7503">
            <v>41064</v>
          </cell>
          <cell r="C7503">
            <v>1834.71</v>
          </cell>
        </row>
        <row r="7504">
          <cell r="B7504">
            <v>41065</v>
          </cell>
          <cell r="C7504">
            <v>1815.54</v>
          </cell>
        </row>
        <row r="7505">
          <cell r="B7505">
            <v>41066</v>
          </cell>
          <cell r="C7505">
            <v>1798.85</v>
          </cell>
        </row>
        <row r="7506">
          <cell r="B7506">
            <v>41067</v>
          </cell>
          <cell r="C7506">
            <v>1782.89</v>
          </cell>
        </row>
        <row r="7507">
          <cell r="B7507">
            <v>41068</v>
          </cell>
          <cell r="C7507">
            <v>1766.91</v>
          </cell>
        </row>
        <row r="7508">
          <cell r="B7508">
            <v>41069</v>
          </cell>
          <cell r="C7508">
            <v>1776.26</v>
          </cell>
        </row>
        <row r="7509">
          <cell r="B7509">
            <v>41070</v>
          </cell>
          <cell r="C7509">
            <v>1776.26</v>
          </cell>
        </row>
        <row r="7510">
          <cell r="B7510">
            <v>41071</v>
          </cell>
          <cell r="C7510">
            <v>1776.26</v>
          </cell>
        </row>
        <row r="7511">
          <cell r="B7511">
            <v>41072</v>
          </cell>
          <cell r="C7511">
            <v>1776.26</v>
          </cell>
        </row>
        <row r="7512">
          <cell r="B7512">
            <v>41073</v>
          </cell>
          <cell r="C7512">
            <v>1776.47</v>
          </cell>
        </row>
        <row r="7513">
          <cell r="B7513">
            <v>41074</v>
          </cell>
          <cell r="C7513">
            <v>1783.45</v>
          </cell>
        </row>
        <row r="7514">
          <cell r="B7514">
            <v>41075</v>
          </cell>
          <cell r="C7514">
            <v>1787.63</v>
          </cell>
        </row>
        <row r="7515">
          <cell r="B7515">
            <v>41076</v>
          </cell>
          <cell r="C7515">
            <v>1786.21</v>
          </cell>
        </row>
        <row r="7516">
          <cell r="B7516">
            <v>41077</v>
          </cell>
          <cell r="C7516">
            <v>1786.21</v>
          </cell>
        </row>
        <row r="7517">
          <cell r="B7517">
            <v>41078</v>
          </cell>
          <cell r="C7517">
            <v>1786.21</v>
          </cell>
        </row>
        <row r="7518">
          <cell r="B7518">
            <v>41079</v>
          </cell>
          <cell r="C7518">
            <v>1786.21</v>
          </cell>
        </row>
        <row r="7519">
          <cell r="B7519">
            <v>41080</v>
          </cell>
          <cell r="C7519">
            <v>1773.18</v>
          </cell>
        </row>
        <row r="7520">
          <cell r="B7520">
            <v>41081</v>
          </cell>
          <cell r="C7520">
            <v>1770.38</v>
          </cell>
        </row>
        <row r="7521">
          <cell r="B7521">
            <v>41082</v>
          </cell>
          <cell r="C7521">
            <v>1775.99</v>
          </cell>
        </row>
        <row r="7522">
          <cell r="B7522">
            <v>41083</v>
          </cell>
          <cell r="C7522">
            <v>1787.47</v>
          </cell>
        </row>
        <row r="7523">
          <cell r="B7523">
            <v>41084</v>
          </cell>
          <cell r="C7523">
            <v>1787.47</v>
          </cell>
        </row>
        <row r="7524">
          <cell r="B7524">
            <v>41085</v>
          </cell>
          <cell r="C7524">
            <v>1787.47</v>
          </cell>
        </row>
        <row r="7525">
          <cell r="B7525">
            <v>41086</v>
          </cell>
          <cell r="C7525">
            <v>1803.37</v>
          </cell>
        </row>
        <row r="7526">
          <cell r="B7526">
            <v>41087</v>
          </cell>
          <cell r="C7526">
            <v>1805.14</v>
          </cell>
        </row>
        <row r="7527">
          <cell r="B7527">
            <v>41088</v>
          </cell>
          <cell r="C7527">
            <v>1796.18</v>
          </cell>
        </row>
        <row r="7528">
          <cell r="B7528">
            <v>41089</v>
          </cell>
          <cell r="C7528">
            <v>1805.6</v>
          </cell>
        </row>
        <row r="7529">
          <cell r="B7529">
            <v>41090</v>
          </cell>
          <cell r="C7529">
            <v>1784.6</v>
          </cell>
        </row>
        <row r="7530">
          <cell r="B7530">
            <v>41091</v>
          </cell>
          <cell r="C7530">
            <v>1784.6</v>
          </cell>
        </row>
        <row r="7531">
          <cell r="B7531">
            <v>41092</v>
          </cell>
          <cell r="C7531">
            <v>1784.6</v>
          </cell>
        </row>
        <row r="7532">
          <cell r="B7532">
            <v>41093</v>
          </cell>
          <cell r="C7532">
            <v>1784.6</v>
          </cell>
        </row>
        <row r="7533">
          <cell r="B7533">
            <v>41094</v>
          </cell>
          <cell r="C7533">
            <v>1771.53</v>
          </cell>
        </row>
        <row r="7534">
          <cell r="B7534">
            <v>41095</v>
          </cell>
          <cell r="C7534">
            <v>1771.53</v>
          </cell>
        </row>
        <row r="7535">
          <cell r="B7535">
            <v>41096</v>
          </cell>
          <cell r="C7535">
            <v>1774.37</v>
          </cell>
        </row>
        <row r="7536">
          <cell r="B7536">
            <v>41097</v>
          </cell>
          <cell r="C7536">
            <v>1785.25</v>
          </cell>
        </row>
        <row r="7537">
          <cell r="B7537">
            <v>41098</v>
          </cell>
          <cell r="C7537">
            <v>1785.25</v>
          </cell>
        </row>
        <row r="7538">
          <cell r="B7538">
            <v>41099</v>
          </cell>
          <cell r="C7538">
            <v>1785.25</v>
          </cell>
        </row>
        <row r="7539">
          <cell r="B7539">
            <v>41100</v>
          </cell>
          <cell r="C7539">
            <v>1790.25</v>
          </cell>
        </row>
        <row r="7540">
          <cell r="B7540">
            <v>41101</v>
          </cell>
          <cell r="C7540">
            <v>1785.06</v>
          </cell>
        </row>
        <row r="7541">
          <cell r="B7541">
            <v>41102</v>
          </cell>
          <cell r="C7541">
            <v>1787.72</v>
          </cell>
        </row>
        <row r="7542">
          <cell r="B7542">
            <v>41103</v>
          </cell>
          <cell r="C7542">
            <v>1790.12</v>
          </cell>
        </row>
        <row r="7543">
          <cell r="B7543">
            <v>41104</v>
          </cell>
          <cell r="C7543">
            <v>1780.21</v>
          </cell>
        </row>
        <row r="7544">
          <cell r="B7544">
            <v>41105</v>
          </cell>
          <cell r="C7544">
            <v>1780.21</v>
          </cell>
        </row>
        <row r="7545">
          <cell r="B7545">
            <v>41106</v>
          </cell>
          <cell r="C7545">
            <v>1780.21</v>
          </cell>
        </row>
        <row r="7546">
          <cell r="B7546">
            <v>41107</v>
          </cell>
          <cell r="C7546">
            <v>1778.42</v>
          </cell>
        </row>
        <row r="7547">
          <cell r="B7547">
            <v>41108</v>
          </cell>
          <cell r="C7547">
            <v>1778.97</v>
          </cell>
        </row>
        <row r="7548">
          <cell r="B7548">
            <v>41109</v>
          </cell>
          <cell r="C7548">
            <v>1778.28</v>
          </cell>
        </row>
        <row r="7549">
          <cell r="B7549">
            <v>41110</v>
          </cell>
          <cell r="C7549">
            <v>1775.8</v>
          </cell>
        </row>
        <row r="7550">
          <cell r="B7550">
            <v>41111</v>
          </cell>
          <cell r="C7550">
            <v>1775.8</v>
          </cell>
        </row>
        <row r="7551">
          <cell r="B7551">
            <v>41112</v>
          </cell>
          <cell r="C7551">
            <v>1775.8</v>
          </cell>
        </row>
        <row r="7552">
          <cell r="B7552">
            <v>41113</v>
          </cell>
          <cell r="C7552">
            <v>1775.8</v>
          </cell>
        </row>
        <row r="7553">
          <cell r="B7553">
            <v>41114</v>
          </cell>
          <cell r="C7553">
            <v>1790.39</v>
          </cell>
        </row>
        <row r="7554">
          <cell r="B7554">
            <v>41115</v>
          </cell>
          <cell r="C7554">
            <v>1797.33</v>
          </cell>
        </row>
        <row r="7555">
          <cell r="B7555">
            <v>41116</v>
          </cell>
          <cell r="C7555">
            <v>1799.48</v>
          </cell>
        </row>
        <row r="7556">
          <cell r="B7556">
            <v>41117</v>
          </cell>
          <cell r="C7556">
            <v>1789.22</v>
          </cell>
        </row>
        <row r="7557">
          <cell r="B7557">
            <v>41118</v>
          </cell>
          <cell r="C7557">
            <v>1791.12</v>
          </cell>
        </row>
        <row r="7558">
          <cell r="B7558">
            <v>41119</v>
          </cell>
          <cell r="C7558">
            <v>1791.12</v>
          </cell>
        </row>
        <row r="7559">
          <cell r="B7559">
            <v>41120</v>
          </cell>
          <cell r="C7559">
            <v>1791.12</v>
          </cell>
        </row>
        <row r="7560">
          <cell r="B7560">
            <v>41121</v>
          </cell>
          <cell r="C7560">
            <v>1789.02</v>
          </cell>
        </row>
        <row r="7561">
          <cell r="B7561">
            <v>41122</v>
          </cell>
          <cell r="C7561">
            <v>1790.74</v>
          </cell>
        </row>
        <row r="7562">
          <cell r="B7562">
            <v>41123</v>
          </cell>
          <cell r="C7562">
            <v>1787.51</v>
          </cell>
        </row>
        <row r="7563">
          <cell r="B7563">
            <v>41124</v>
          </cell>
          <cell r="C7563">
            <v>1790.97</v>
          </cell>
        </row>
        <row r="7564">
          <cell r="B7564">
            <v>41125</v>
          </cell>
          <cell r="C7564">
            <v>1786.06</v>
          </cell>
        </row>
        <row r="7565">
          <cell r="B7565">
            <v>41126</v>
          </cell>
          <cell r="C7565">
            <v>1786.06</v>
          </cell>
        </row>
        <row r="7566">
          <cell r="B7566">
            <v>41127</v>
          </cell>
          <cell r="C7566">
            <v>1786.06</v>
          </cell>
        </row>
        <row r="7567">
          <cell r="B7567">
            <v>41128</v>
          </cell>
          <cell r="C7567">
            <v>1785.29</v>
          </cell>
        </row>
        <row r="7568">
          <cell r="B7568">
            <v>41129</v>
          </cell>
          <cell r="C7568">
            <v>1785.29</v>
          </cell>
        </row>
        <row r="7569">
          <cell r="B7569">
            <v>41130</v>
          </cell>
          <cell r="C7569">
            <v>1788.03</v>
          </cell>
        </row>
        <row r="7570">
          <cell r="B7570">
            <v>41131</v>
          </cell>
          <cell r="C7570">
            <v>1788.08</v>
          </cell>
        </row>
        <row r="7571">
          <cell r="B7571">
            <v>41132</v>
          </cell>
          <cell r="C7571">
            <v>1791.61</v>
          </cell>
        </row>
        <row r="7572">
          <cell r="B7572">
            <v>41133</v>
          </cell>
          <cell r="C7572">
            <v>1791.61</v>
          </cell>
        </row>
        <row r="7573">
          <cell r="B7573">
            <v>41134</v>
          </cell>
          <cell r="C7573">
            <v>1791.61</v>
          </cell>
        </row>
        <row r="7574">
          <cell r="B7574">
            <v>41135</v>
          </cell>
          <cell r="C7574">
            <v>1792.86</v>
          </cell>
        </row>
        <row r="7575">
          <cell r="B7575">
            <v>41136</v>
          </cell>
          <cell r="C7575">
            <v>1800.81</v>
          </cell>
        </row>
        <row r="7576">
          <cell r="B7576">
            <v>41137</v>
          </cell>
          <cell r="C7576">
            <v>1817.18</v>
          </cell>
        </row>
        <row r="7577">
          <cell r="B7577">
            <v>41138</v>
          </cell>
          <cell r="C7577">
            <v>1825.52</v>
          </cell>
        </row>
        <row r="7578">
          <cell r="B7578">
            <v>41139</v>
          </cell>
          <cell r="C7578">
            <v>1822.59</v>
          </cell>
        </row>
        <row r="7579">
          <cell r="B7579">
            <v>41140</v>
          </cell>
          <cell r="C7579">
            <v>1822.59</v>
          </cell>
        </row>
        <row r="7580">
          <cell r="B7580">
            <v>41141</v>
          </cell>
          <cell r="C7580">
            <v>1822.59</v>
          </cell>
        </row>
        <row r="7581">
          <cell r="B7581">
            <v>41142</v>
          </cell>
          <cell r="C7581">
            <v>1822.59</v>
          </cell>
        </row>
        <row r="7582">
          <cell r="B7582">
            <v>41143</v>
          </cell>
          <cell r="C7582">
            <v>1815.8</v>
          </cell>
        </row>
        <row r="7583">
          <cell r="B7583">
            <v>41144</v>
          </cell>
          <cell r="C7583">
            <v>1812.88</v>
          </cell>
        </row>
        <row r="7584">
          <cell r="B7584">
            <v>41145</v>
          </cell>
          <cell r="C7584">
            <v>1808.33</v>
          </cell>
        </row>
        <row r="7585">
          <cell r="B7585">
            <v>41146</v>
          </cell>
          <cell r="C7585">
            <v>1814.83</v>
          </cell>
        </row>
        <row r="7586">
          <cell r="B7586">
            <v>41147</v>
          </cell>
          <cell r="C7586">
            <v>1814.83</v>
          </cell>
        </row>
        <row r="7587">
          <cell r="B7587">
            <v>41148</v>
          </cell>
          <cell r="C7587">
            <v>1814.83</v>
          </cell>
        </row>
        <row r="7588">
          <cell r="B7588">
            <v>41149</v>
          </cell>
          <cell r="C7588">
            <v>1821.44</v>
          </cell>
        </row>
        <row r="7589">
          <cell r="B7589">
            <v>41150</v>
          </cell>
          <cell r="C7589">
            <v>1828.99</v>
          </cell>
        </row>
        <row r="7590">
          <cell r="B7590">
            <v>41151</v>
          </cell>
          <cell r="C7590">
            <v>1833.14</v>
          </cell>
        </row>
        <row r="7591">
          <cell r="B7591">
            <v>41152</v>
          </cell>
          <cell r="C7591">
            <v>1830.5</v>
          </cell>
        </row>
        <row r="7592">
          <cell r="B7592">
            <v>41153</v>
          </cell>
          <cell r="C7592">
            <v>1825.21</v>
          </cell>
        </row>
        <row r="7593">
          <cell r="B7593">
            <v>41154</v>
          </cell>
          <cell r="C7593">
            <v>1825.21</v>
          </cell>
        </row>
        <row r="7594">
          <cell r="B7594">
            <v>41155</v>
          </cell>
          <cell r="C7594">
            <v>1825.21</v>
          </cell>
        </row>
        <row r="7595">
          <cell r="B7595">
            <v>41156</v>
          </cell>
          <cell r="C7595">
            <v>1825.21</v>
          </cell>
        </row>
        <row r="7596">
          <cell r="B7596">
            <v>41157</v>
          </cell>
          <cell r="C7596">
            <v>1824.81</v>
          </cell>
        </row>
        <row r="7597">
          <cell r="B7597">
            <v>41158</v>
          </cell>
          <cell r="C7597">
            <v>1814.06</v>
          </cell>
        </row>
        <row r="7598">
          <cell r="B7598">
            <v>41159</v>
          </cell>
          <cell r="C7598">
            <v>1804.09</v>
          </cell>
        </row>
        <row r="7599">
          <cell r="B7599">
            <v>41160</v>
          </cell>
          <cell r="C7599">
            <v>1797.35</v>
          </cell>
        </row>
        <row r="7600">
          <cell r="B7600">
            <v>41161</v>
          </cell>
          <cell r="C7600">
            <v>1797.35</v>
          </cell>
        </row>
        <row r="7601">
          <cell r="B7601">
            <v>41162</v>
          </cell>
          <cell r="C7601">
            <v>1797.35</v>
          </cell>
        </row>
        <row r="7602">
          <cell r="B7602">
            <v>41163</v>
          </cell>
          <cell r="C7602">
            <v>1802.23</v>
          </cell>
        </row>
        <row r="7603">
          <cell r="B7603">
            <v>41164</v>
          </cell>
          <cell r="C7603">
            <v>1795.4</v>
          </cell>
        </row>
        <row r="7604">
          <cell r="B7604">
            <v>41165</v>
          </cell>
          <cell r="C7604">
            <v>1802.22</v>
          </cell>
        </row>
        <row r="7605">
          <cell r="B7605">
            <v>41166</v>
          </cell>
          <cell r="C7605">
            <v>1799.57</v>
          </cell>
        </row>
        <row r="7606">
          <cell r="B7606">
            <v>41167</v>
          </cell>
          <cell r="C7606">
            <v>1789.54</v>
          </cell>
        </row>
        <row r="7607">
          <cell r="B7607">
            <v>41168</v>
          </cell>
          <cell r="C7607">
            <v>1789.54</v>
          </cell>
        </row>
        <row r="7608">
          <cell r="B7608">
            <v>41169</v>
          </cell>
          <cell r="C7608">
            <v>1789.54</v>
          </cell>
        </row>
        <row r="7609">
          <cell r="B7609">
            <v>41170</v>
          </cell>
          <cell r="C7609">
            <v>1799.77</v>
          </cell>
        </row>
        <row r="7610">
          <cell r="B7610">
            <v>41171</v>
          </cell>
          <cell r="C7610">
            <v>1800.19</v>
          </cell>
        </row>
        <row r="7611">
          <cell r="B7611">
            <v>41172</v>
          </cell>
          <cell r="C7611">
            <v>1795.66</v>
          </cell>
        </row>
        <row r="7612">
          <cell r="B7612">
            <v>41173</v>
          </cell>
          <cell r="C7612">
            <v>1798.98</v>
          </cell>
        </row>
        <row r="7613">
          <cell r="B7613">
            <v>41174</v>
          </cell>
          <cell r="C7613">
            <v>1796.75</v>
          </cell>
        </row>
        <row r="7614">
          <cell r="B7614">
            <v>41175</v>
          </cell>
          <cell r="C7614">
            <v>1796.75</v>
          </cell>
        </row>
        <row r="7615">
          <cell r="B7615">
            <v>41176</v>
          </cell>
          <cell r="C7615">
            <v>1796.75</v>
          </cell>
        </row>
        <row r="7616">
          <cell r="B7616">
            <v>41177</v>
          </cell>
          <cell r="C7616">
            <v>1799.29</v>
          </cell>
        </row>
        <row r="7617">
          <cell r="B7617">
            <v>41178</v>
          </cell>
          <cell r="C7617">
            <v>1795.69</v>
          </cell>
        </row>
        <row r="7618">
          <cell r="B7618">
            <v>41179</v>
          </cell>
          <cell r="C7618">
            <v>1799.55</v>
          </cell>
        </row>
        <row r="7619">
          <cell r="B7619">
            <v>41180</v>
          </cell>
          <cell r="C7619">
            <v>1798.08</v>
          </cell>
        </row>
        <row r="7620">
          <cell r="B7620">
            <v>41181</v>
          </cell>
          <cell r="C7620">
            <v>1800.52</v>
          </cell>
        </row>
        <row r="7621">
          <cell r="B7621">
            <v>41182</v>
          </cell>
          <cell r="C7621">
            <v>1800.52</v>
          </cell>
        </row>
        <row r="7622">
          <cell r="B7622">
            <v>41183</v>
          </cell>
          <cell r="C7622">
            <v>1800.52</v>
          </cell>
        </row>
        <row r="7623">
          <cell r="B7623">
            <v>41184</v>
          </cell>
          <cell r="C7623">
            <v>1797.97</v>
          </cell>
        </row>
        <row r="7624">
          <cell r="B7624">
            <v>41185</v>
          </cell>
          <cell r="C7624">
            <v>1798.86</v>
          </cell>
        </row>
        <row r="7625">
          <cell r="B7625">
            <v>41186</v>
          </cell>
          <cell r="C7625">
            <v>1800.43</v>
          </cell>
        </row>
        <row r="7626">
          <cell r="B7626">
            <v>41187</v>
          </cell>
          <cell r="C7626">
            <v>1797.68</v>
          </cell>
        </row>
        <row r="7627">
          <cell r="B7627">
            <v>41188</v>
          </cell>
          <cell r="C7627">
            <v>1795.4</v>
          </cell>
        </row>
        <row r="7628">
          <cell r="B7628">
            <v>41189</v>
          </cell>
          <cell r="C7628">
            <v>1795.4</v>
          </cell>
        </row>
        <row r="7629">
          <cell r="B7629">
            <v>41190</v>
          </cell>
          <cell r="C7629">
            <v>1795.4</v>
          </cell>
        </row>
        <row r="7630">
          <cell r="B7630">
            <v>41191</v>
          </cell>
          <cell r="C7630">
            <v>1795.4</v>
          </cell>
        </row>
        <row r="7631">
          <cell r="B7631">
            <v>41192</v>
          </cell>
          <cell r="C7631">
            <v>1798.32</v>
          </cell>
        </row>
        <row r="7632">
          <cell r="B7632">
            <v>41193</v>
          </cell>
          <cell r="C7632">
            <v>1799.78</v>
          </cell>
        </row>
        <row r="7633">
          <cell r="B7633">
            <v>41194</v>
          </cell>
          <cell r="C7633">
            <v>1797.68</v>
          </cell>
        </row>
        <row r="7634">
          <cell r="B7634">
            <v>41195</v>
          </cell>
          <cell r="C7634">
            <v>1797.68</v>
          </cell>
        </row>
        <row r="7635">
          <cell r="B7635">
            <v>41196</v>
          </cell>
          <cell r="C7635">
            <v>1797.68</v>
          </cell>
        </row>
        <row r="7636">
          <cell r="B7636">
            <v>41197</v>
          </cell>
          <cell r="C7636">
            <v>1797.68</v>
          </cell>
        </row>
        <row r="7637">
          <cell r="B7637">
            <v>41198</v>
          </cell>
          <cell r="C7637">
            <v>1797.68</v>
          </cell>
        </row>
        <row r="7638">
          <cell r="B7638">
            <v>41199</v>
          </cell>
          <cell r="C7638">
            <v>1797.81</v>
          </cell>
        </row>
        <row r="7639">
          <cell r="B7639">
            <v>41200</v>
          </cell>
          <cell r="C7639">
            <v>1798.53</v>
          </cell>
        </row>
        <row r="7640">
          <cell r="B7640">
            <v>41201</v>
          </cell>
          <cell r="C7640">
            <v>1797.66</v>
          </cell>
        </row>
        <row r="7641">
          <cell r="B7641">
            <v>41202</v>
          </cell>
          <cell r="C7641">
            <v>1798.42</v>
          </cell>
        </row>
        <row r="7642">
          <cell r="B7642">
            <v>41203</v>
          </cell>
          <cell r="C7642">
            <v>1798.42</v>
          </cell>
        </row>
        <row r="7643">
          <cell r="B7643">
            <v>41204</v>
          </cell>
          <cell r="C7643">
            <v>1798.42</v>
          </cell>
        </row>
        <row r="7644">
          <cell r="B7644">
            <v>41205</v>
          </cell>
          <cell r="C7644">
            <v>1802.91</v>
          </cell>
        </row>
        <row r="7645">
          <cell r="B7645">
            <v>41206</v>
          </cell>
          <cell r="C7645">
            <v>1816.6</v>
          </cell>
        </row>
        <row r="7646">
          <cell r="B7646">
            <v>41207</v>
          </cell>
          <cell r="C7646">
            <v>1817.25</v>
          </cell>
        </row>
        <row r="7647">
          <cell r="B7647">
            <v>41208</v>
          </cell>
          <cell r="C7647">
            <v>1816.97</v>
          </cell>
        </row>
        <row r="7648">
          <cell r="B7648">
            <v>41209</v>
          </cell>
          <cell r="C7648">
            <v>1823.18</v>
          </cell>
        </row>
        <row r="7649">
          <cell r="B7649">
            <v>41210</v>
          </cell>
          <cell r="C7649">
            <v>1823.18</v>
          </cell>
        </row>
        <row r="7650">
          <cell r="B7650">
            <v>41211</v>
          </cell>
          <cell r="C7650">
            <v>1823.18</v>
          </cell>
        </row>
        <row r="7651">
          <cell r="B7651">
            <v>41212</v>
          </cell>
          <cell r="C7651">
            <v>1830.45</v>
          </cell>
        </row>
        <row r="7652">
          <cell r="B7652">
            <v>41213</v>
          </cell>
          <cell r="C7652">
            <v>1829.89</v>
          </cell>
        </row>
        <row r="7653">
          <cell r="B7653">
            <v>41214</v>
          </cell>
          <cell r="C7653">
            <v>1831.25</v>
          </cell>
        </row>
        <row r="7654">
          <cell r="B7654">
            <v>41215</v>
          </cell>
          <cell r="C7654">
            <v>1825.5</v>
          </cell>
        </row>
        <row r="7655">
          <cell r="B7655">
            <v>41216</v>
          </cell>
          <cell r="C7655">
            <v>1828.8</v>
          </cell>
        </row>
        <row r="7656">
          <cell r="B7656">
            <v>41217</v>
          </cell>
          <cell r="C7656">
            <v>1828.8</v>
          </cell>
        </row>
        <row r="7657">
          <cell r="B7657">
            <v>41218</v>
          </cell>
          <cell r="C7657">
            <v>1828.8</v>
          </cell>
        </row>
        <row r="7658">
          <cell r="B7658">
            <v>41219</v>
          </cell>
          <cell r="C7658">
            <v>1828.8</v>
          </cell>
        </row>
        <row r="7659">
          <cell r="B7659">
            <v>41220</v>
          </cell>
          <cell r="C7659">
            <v>1814.99</v>
          </cell>
        </row>
        <row r="7660">
          <cell r="B7660">
            <v>41221</v>
          </cell>
          <cell r="C7660">
            <v>1814.83</v>
          </cell>
        </row>
        <row r="7661">
          <cell r="B7661">
            <v>41222</v>
          </cell>
          <cell r="C7661">
            <v>1814.21</v>
          </cell>
        </row>
        <row r="7662">
          <cell r="B7662">
            <v>41223</v>
          </cell>
          <cell r="C7662">
            <v>1816.99</v>
          </cell>
        </row>
        <row r="7663">
          <cell r="B7663">
            <v>41224</v>
          </cell>
          <cell r="C7663">
            <v>1816.99</v>
          </cell>
        </row>
        <row r="7664">
          <cell r="B7664">
            <v>41225</v>
          </cell>
          <cell r="C7664">
            <v>1816.99</v>
          </cell>
        </row>
        <row r="7665">
          <cell r="B7665">
            <v>41226</v>
          </cell>
          <cell r="C7665">
            <v>1816.99</v>
          </cell>
        </row>
        <row r="7666">
          <cell r="B7666">
            <v>41227</v>
          </cell>
          <cell r="C7666">
            <v>1819.3</v>
          </cell>
        </row>
        <row r="7667">
          <cell r="B7667">
            <v>41228</v>
          </cell>
          <cell r="C7667">
            <v>1818.2</v>
          </cell>
        </row>
        <row r="7668">
          <cell r="B7668">
            <v>41229</v>
          </cell>
          <cell r="C7668">
            <v>1822.61</v>
          </cell>
        </row>
        <row r="7669">
          <cell r="B7669">
            <v>41230</v>
          </cell>
          <cell r="C7669">
            <v>1823.46</v>
          </cell>
        </row>
        <row r="7670">
          <cell r="B7670">
            <v>41231</v>
          </cell>
          <cell r="C7670">
            <v>1823.46</v>
          </cell>
        </row>
        <row r="7671">
          <cell r="B7671">
            <v>41232</v>
          </cell>
          <cell r="C7671">
            <v>1823.46</v>
          </cell>
        </row>
        <row r="7672">
          <cell r="B7672">
            <v>41233</v>
          </cell>
          <cell r="C7672">
            <v>1817.67</v>
          </cell>
        </row>
        <row r="7673">
          <cell r="B7673">
            <v>41234</v>
          </cell>
          <cell r="C7673">
            <v>1815.58</v>
          </cell>
        </row>
        <row r="7674">
          <cell r="B7674">
            <v>41235</v>
          </cell>
          <cell r="C7674">
            <v>1815.76</v>
          </cell>
        </row>
        <row r="7675">
          <cell r="B7675">
            <v>41236</v>
          </cell>
          <cell r="C7675">
            <v>1815.76</v>
          </cell>
        </row>
        <row r="7676">
          <cell r="B7676">
            <v>41237</v>
          </cell>
          <cell r="C7676">
            <v>1820.18</v>
          </cell>
        </row>
        <row r="7677">
          <cell r="B7677">
            <v>41238</v>
          </cell>
          <cell r="C7677">
            <v>1820.18</v>
          </cell>
        </row>
        <row r="7678">
          <cell r="B7678">
            <v>41239</v>
          </cell>
          <cell r="C7678">
            <v>1820.18</v>
          </cell>
        </row>
        <row r="7679">
          <cell r="B7679">
            <v>41240</v>
          </cell>
          <cell r="C7679">
            <v>1824.12</v>
          </cell>
        </row>
        <row r="7680">
          <cell r="B7680">
            <v>41241</v>
          </cell>
          <cell r="C7680">
            <v>1823.54</v>
          </cell>
        </row>
        <row r="7681">
          <cell r="B7681">
            <v>41242</v>
          </cell>
          <cell r="C7681">
            <v>1825.08</v>
          </cell>
        </row>
        <row r="7682">
          <cell r="B7682">
            <v>41243</v>
          </cell>
          <cell r="C7682">
            <v>1817.93</v>
          </cell>
        </row>
        <row r="7683">
          <cell r="B7683">
            <v>41244</v>
          </cell>
          <cell r="C7683">
            <v>1813.72</v>
          </cell>
        </row>
        <row r="7684">
          <cell r="B7684">
            <v>41245</v>
          </cell>
          <cell r="C7684">
            <v>1813.72</v>
          </cell>
        </row>
        <row r="7685">
          <cell r="B7685">
            <v>41246</v>
          </cell>
          <cell r="C7685">
            <v>1813.72</v>
          </cell>
        </row>
        <row r="7686">
          <cell r="B7686">
            <v>41247</v>
          </cell>
          <cell r="C7686">
            <v>1813.73</v>
          </cell>
        </row>
        <row r="7687">
          <cell r="B7687">
            <v>41248</v>
          </cell>
          <cell r="C7687">
            <v>1813.57</v>
          </cell>
        </row>
        <row r="7688">
          <cell r="B7688">
            <v>41249</v>
          </cell>
          <cell r="C7688">
            <v>1811.05</v>
          </cell>
        </row>
        <row r="7689">
          <cell r="B7689">
            <v>41250</v>
          </cell>
          <cell r="C7689">
            <v>1803.69</v>
          </cell>
        </row>
        <row r="7690">
          <cell r="B7690">
            <v>41251</v>
          </cell>
          <cell r="C7690">
            <v>1797.45</v>
          </cell>
        </row>
        <row r="7691">
          <cell r="B7691">
            <v>41252</v>
          </cell>
          <cell r="C7691">
            <v>1797.45</v>
          </cell>
        </row>
        <row r="7692">
          <cell r="B7692">
            <v>41253</v>
          </cell>
          <cell r="C7692">
            <v>1797.45</v>
          </cell>
        </row>
        <row r="7693">
          <cell r="B7693">
            <v>41254</v>
          </cell>
          <cell r="C7693">
            <v>1799.4</v>
          </cell>
        </row>
        <row r="7694">
          <cell r="B7694">
            <v>41255</v>
          </cell>
          <cell r="C7694">
            <v>1801.5</v>
          </cell>
        </row>
        <row r="7695">
          <cell r="B7695">
            <v>41256</v>
          </cell>
          <cell r="C7695">
            <v>1796.31</v>
          </cell>
        </row>
        <row r="7696">
          <cell r="B7696">
            <v>41257</v>
          </cell>
          <cell r="C7696">
            <v>1795.05</v>
          </cell>
        </row>
        <row r="7697">
          <cell r="B7697">
            <v>41258</v>
          </cell>
          <cell r="C7697">
            <v>1798.37</v>
          </cell>
        </row>
        <row r="7698">
          <cell r="B7698">
            <v>41259</v>
          </cell>
          <cell r="C7698">
            <v>1798.37</v>
          </cell>
        </row>
        <row r="7699">
          <cell r="B7699">
            <v>41260</v>
          </cell>
          <cell r="C7699">
            <v>1798.37</v>
          </cell>
        </row>
        <row r="7700">
          <cell r="B7700">
            <v>41261</v>
          </cell>
          <cell r="C7700">
            <v>1796.98</v>
          </cell>
        </row>
        <row r="7701">
          <cell r="B7701">
            <v>41262</v>
          </cell>
          <cell r="C7701">
            <v>1794.14</v>
          </cell>
        </row>
        <row r="7702">
          <cell r="B7702">
            <v>41263</v>
          </cell>
          <cell r="C7702">
            <v>1790.46</v>
          </cell>
        </row>
        <row r="7703">
          <cell r="B7703">
            <v>41264</v>
          </cell>
          <cell r="C7703">
            <v>1788.87</v>
          </cell>
        </row>
        <row r="7704">
          <cell r="B7704">
            <v>41265</v>
          </cell>
          <cell r="C7704">
            <v>1779.79</v>
          </cell>
        </row>
        <row r="7705">
          <cell r="B7705">
            <v>41266</v>
          </cell>
          <cell r="C7705">
            <v>1779.79</v>
          </cell>
        </row>
        <row r="7706">
          <cell r="B7706">
            <v>41267</v>
          </cell>
          <cell r="C7706">
            <v>1779.79</v>
          </cell>
        </row>
        <row r="7707">
          <cell r="B7707">
            <v>41268</v>
          </cell>
          <cell r="C7707">
            <v>1773.44</v>
          </cell>
        </row>
        <row r="7708">
          <cell r="B7708">
            <v>41269</v>
          </cell>
          <cell r="C7708">
            <v>1773.44</v>
          </cell>
        </row>
        <row r="7709">
          <cell r="B7709">
            <v>41270</v>
          </cell>
          <cell r="C7709">
            <v>1771.49</v>
          </cell>
        </row>
        <row r="7710">
          <cell r="B7710">
            <v>41271</v>
          </cell>
          <cell r="C7710">
            <v>1771.54</v>
          </cell>
        </row>
        <row r="7711">
          <cell r="B7711">
            <v>41272</v>
          </cell>
          <cell r="C7711">
            <v>1768.23</v>
          </cell>
        </row>
        <row r="7712">
          <cell r="B7712">
            <v>41273</v>
          </cell>
          <cell r="C7712">
            <v>1768.23</v>
          </cell>
        </row>
        <row r="7713">
          <cell r="B7713">
            <v>41274</v>
          </cell>
          <cell r="C7713">
            <v>1768.23</v>
          </cell>
        </row>
        <row r="7714">
          <cell r="B7714">
            <v>41275</v>
          </cell>
          <cell r="C7714">
            <v>1768.23</v>
          </cell>
        </row>
        <row r="7715">
          <cell r="B7715">
            <v>41276</v>
          </cell>
          <cell r="C7715">
            <v>1768.23</v>
          </cell>
        </row>
        <row r="7716">
          <cell r="B7716">
            <v>41277</v>
          </cell>
          <cell r="C7716">
            <v>1759.97</v>
          </cell>
        </row>
        <row r="7717">
          <cell r="B7717">
            <v>41278</v>
          </cell>
          <cell r="C7717">
            <v>1760.83</v>
          </cell>
        </row>
        <row r="7718">
          <cell r="B7718">
            <v>41279</v>
          </cell>
          <cell r="C7718">
            <v>1767.54</v>
          </cell>
        </row>
        <row r="7719">
          <cell r="B7719">
            <v>41280</v>
          </cell>
          <cell r="C7719">
            <v>1767.54</v>
          </cell>
        </row>
        <row r="7720">
          <cell r="B7720">
            <v>41281</v>
          </cell>
          <cell r="C7720">
            <v>1767.54</v>
          </cell>
        </row>
        <row r="7721">
          <cell r="B7721">
            <v>41282</v>
          </cell>
          <cell r="C7721">
            <v>1767.54</v>
          </cell>
        </row>
        <row r="7722">
          <cell r="B7722">
            <v>41283</v>
          </cell>
          <cell r="C7722">
            <v>1771.31</v>
          </cell>
        </row>
        <row r="7723">
          <cell r="B7723">
            <v>41284</v>
          </cell>
          <cell r="C7723">
            <v>1767.96</v>
          </cell>
        </row>
        <row r="7724">
          <cell r="B7724">
            <v>41285</v>
          </cell>
          <cell r="C7724">
            <v>1761.5</v>
          </cell>
        </row>
        <row r="7725">
          <cell r="B7725">
            <v>41286</v>
          </cell>
          <cell r="C7725">
            <v>1762.38</v>
          </cell>
        </row>
        <row r="7726">
          <cell r="B7726">
            <v>41287</v>
          </cell>
          <cell r="C7726">
            <v>1762.38</v>
          </cell>
        </row>
        <row r="7727">
          <cell r="B7727">
            <v>41288</v>
          </cell>
          <cell r="C7727">
            <v>1762.38</v>
          </cell>
        </row>
        <row r="7728">
          <cell r="B7728">
            <v>41289</v>
          </cell>
          <cell r="C7728">
            <v>1758.45</v>
          </cell>
        </row>
        <row r="7729">
          <cell r="B7729">
            <v>41290</v>
          </cell>
          <cell r="C7729">
            <v>1769.88</v>
          </cell>
        </row>
        <row r="7730">
          <cell r="B7730">
            <v>41291</v>
          </cell>
          <cell r="C7730">
            <v>1775.15</v>
          </cell>
        </row>
        <row r="7731">
          <cell r="B7731">
            <v>41292</v>
          </cell>
          <cell r="C7731">
            <v>1767.78</v>
          </cell>
        </row>
        <row r="7732">
          <cell r="B7732">
            <v>41293</v>
          </cell>
          <cell r="C7732">
            <v>1767.74</v>
          </cell>
        </row>
        <row r="7733">
          <cell r="B7733">
            <v>41294</v>
          </cell>
          <cell r="C7733">
            <v>1767.74</v>
          </cell>
        </row>
        <row r="7734">
          <cell r="B7734">
            <v>41295</v>
          </cell>
          <cell r="C7734">
            <v>1767.74</v>
          </cell>
        </row>
        <row r="7735">
          <cell r="B7735">
            <v>41296</v>
          </cell>
          <cell r="C7735">
            <v>1767.74</v>
          </cell>
        </row>
        <row r="7736">
          <cell r="B7736">
            <v>41297</v>
          </cell>
          <cell r="C7736">
            <v>1776.96</v>
          </cell>
        </row>
        <row r="7737">
          <cell r="B7737">
            <v>41298</v>
          </cell>
          <cell r="C7737">
            <v>1778.69</v>
          </cell>
        </row>
        <row r="7738">
          <cell r="B7738">
            <v>41299</v>
          </cell>
          <cell r="C7738">
            <v>1779.73</v>
          </cell>
        </row>
        <row r="7739">
          <cell r="B7739">
            <v>41300</v>
          </cell>
          <cell r="C7739">
            <v>1779.25</v>
          </cell>
        </row>
        <row r="7740">
          <cell r="B7740">
            <v>41301</v>
          </cell>
          <cell r="C7740">
            <v>1779.25</v>
          </cell>
        </row>
        <row r="7741">
          <cell r="B7741">
            <v>41302</v>
          </cell>
          <cell r="C7741">
            <v>1779.25</v>
          </cell>
        </row>
        <row r="7742">
          <cell r="B7742">
            <v>41303</v>
          </cell>
          <cell r="C7742">
            <v>1779.84</v>
          </cell>
        </row>
        <row r="7743">
          <cell r="B7743">
            <v>41304</v>
          </cell>
          <cell r="C7743">
            <v>1776.09</v>
          </cell>
        </row>
        <row r="7744">
          <cell r="B7744">
            <v>41305</v>
          </cell>
          <cell r="C7744">
            <v>1773.24</v>
          </cell>
        </row>
        <row r="7745">
          <cell r="B7745">
            <v>41306</v>
          </cell>
          <cell r="C7745">
            <v>1775.65</v>
          </cell>
        </row>
        <row r="7746">
          <cell r="B7746">
            <v>41307</v>
          </cell>
          <cell r="C7746">
            <v>1776.2</v>
          </cell>
        </row>
        <row r="7747">
          <cell r="B7747">
            <v>41308</v>
          </cell>
          <cell r="C7747">
            <v>1776.2</v>
          </cell>
        </row>
        <row r="7748">
          <cell r="B7748">
            <v>41309</v>
          </cell>
          <cell r="C7748">
            <v>1776.2</v>
          </cell>
        </row>
        <row r="7749">
          <cell r="B7749">
            <v>41310</v>
          </cell>
          <cell r="C7749">
            <v>1785.92</v>
          </cell>
        </row>
        <row r="7750">
          <cell r="B7750">
            <v>41311</v>
          </cell>
          <cell r="C7750">
            <v>1789.09</v>
          </cell>
        </row>
        <row r="7751">
          <cell r="B7751">
            <v>41312</v>
          </cell>
          <cell r="C7751">
            <v>1791.24</v>
          </cell>
        </row>
        <row r="7752">
          <cell r="B7752">
            <v>41313</v>
          </cell>
          <cell r="C7752">
            <v>1795.21</v>
          </cell>
        </row>
        <row r="7753">
          <cell r="B7753">
            <v>41314</v>
          </cell>
          <cell r="C7753">
            <v>1790.61</v>
          </cell>
        </row>
        <row r="7754">
          <cell r="B7754">
            <v>41315</v>
          </cell>
          <cell r="C7754">
            <v>1790.61</v>
          </cell>
        </row>
        <row r="7755">
          <cell r="B7755">
            <v>41316</v>
          </cell>
          <cell r="C7755">
            <v>1790.61</v>
          </cell>
        </row>
        <row r="7756">
          <cell r="B7756">
            <v>41317</v>
          </cell>
          <cell r="C7756">
            <v>1784.71</v>
          </cell>
        </row>
        <row r="7757">
          <cell r="B7757">
            <v>41318</v>
          </cell>
          <cell r="C7757">
            <v>1783.2</v>
          </cell>
        </row>
        <row r="7758">
          <cell r="B7758">
            <v>41319</v>
          </cell>
          <cell r="C7758">
            <v>1777.72</v>
          </cell>
        </row>
        <row r="7759">
          <cell r="B7759">
            <v>41320</v>
          </cell>
          <cell r="C7759">
            <v>1783.19</v>
          </cell>
        </row>
        <row r="7760">
          <cell r="B7760">
            <v>41321</v>
          </cell>
          <cell r="C7760">
            <v>1785.41</v>
          </cell>
        </row>
        <row r="7761">
          <cell r="B7761">
            <v>41322</v>
          </cell>
          <cell r="C7761">
            <v>1785.41</v>
          </cell>
        </row>
        <row r="7762">
          <cell r="B7762">
            <v>41323</v>
          </cell>
          <cell r="C7762">
            <v>1785.41</v>
          </cell>
        </row>
        <row r="7763">
          <cell r="B7763">
            <v>41324</v>
          </cell>
          <cell r="C7763">
            <v>1785.41</v>
          </cell>
        </row>
        <row r="7764">
          <cell r="B7764">
            <v>41325</v>
          </cell>
          <cell r="C7764">
            <v>1794.63</v>
          </cell>
        </row>
        <row r="7765">
          <cell r="B7765">
            <v>41326</v>
          </cell>
          <cell r="C7765">
            <v>1791.33</v>
          </cell>
        </row>
        <row r="7766">
          <cell r="B7766">
            <v>41327</v>
          </cell>
          <cell r="C7766">
            <v>1798.21</v>
          </cell>
        </row>
        <row r="7767">
          <cell r="B7767">
            <v>41328</v>
          </cell>
          <cell r="C7767">
            <v>1800.7</v>
          </cell>
        </row>
        <row r="7768">
          <cell r="B7768">
            <v>41329</v>
          </cell>
          <cell r="C7768">
            <v>1800.7</v>
          </cell>
        </row>
        <row r="7769">
          <cell r="B7769">
            <v>41330</v>
          </cell>
          <cell r="C7769">
            <v>1800.7</v>
          </cell>
        </row>
        <row r="7770">
          <cell r="B7770">
            <v>41331</v>
          </cell>
          <cell r="C7770">
            <v>1806.11</v>
          </cell>
        </row>
        <row r="7771">
          <cell r="B7771">
            <v>41332</v>
          </cell>
          <cell r="C7771">
            <v>1818.54</v>
          </cell>
        </row>
        <row r="7772">
          <cell r="B7772">
            <v>41333</v>
          </cell>
          <cell r="C7772">
            <v>1816.42</v>
          </cell>
        </row>
        <row r="7773">
          <cell r="B7773">
            <v>41334</v>
          </cell>
          <cell r="C7773">
            <v>1814.28</v>
          </cell>
        </row>
        <row r="7774">
          <cell r="B7774">
            <v>41335</v>
          </cell>
          <cell r="C7774">
            <v>1816.48</v>
          </cell>
        </row>
        <row r="7775">
          <cell r="B7775">
            <v>41336</v>
          </cell>
          <cell r="C7775">
            <v>1816.48</v>
          </cell>
        </row>
        <row r="7776">
          <cell r="B7776">
            <v>41337</v>
          </cell>
          <cell r="C7776">
            <v>1816.48</v>
          </cell>
        </row>
        <row r="7777">
          <cell r="B7777">
            <v>41338</v>
          </cell>
          <cell r="C7777">
            <v>1813.53</v>
          </cell>
        </row>
        <row r="7778">
          <cell r="B7778">
            <v>41339</v>
          </cell>
          <cell r="C7778">
            <v>1809.65</v>
          </cell>
        </row>
        <row r="7779">
          <cell r="B7779">
            <v>41340</v>
          </cell>
          <cell r="C7779">
            <v>1808</v>
          </cell>
        </row>
        <row r="7780">
          <cell r="B7780">
            <v>41341</v>
          </cell>
          <cell r="C7780">
            <v>1803.65</v>
          </cell>
        </row>
        <row r="7781">
          <cell r="B7781">
            <v>41342</v>
          </cell>
          <cell r="C7781">
            <v>1800.45</v>
          </cell>
        </row>
        <row r="7782">
          <cell r="B7782">
            <v>41343</v>
          </cell>
          <cell r="C7782">
            <v>1800.45</v>
          </cell>
        </row>
        <row r="7783">
          <cell r="B7783">
            <v>41344</v>
          </cell>
          <cell r="C7783">
            <v>1800.45</v>
          </cell>
        </row>
        <row r="7784">
          <cell r="B7784">
            <v>41345</v>
          </cell>
          <cell r="C7784">
            <v>1801.2</v>
          </cell>
        </row>
        <row r="7785">
          <cell r="B7785">
            <v>41346</v>
          </cell>
          <cell r="C7785">
            <v>1801.64</v>
          </cell>
        </row>
        <row r="7786">
          <cell r="B7786">
            <v>41347</v>
          </cell>
          <cell r="C7786">
            <v>1798.56</v>
          </cell>
        </row>
        <row r="7787">
          <cell r="B7787">
            <v>41348</v>
          </cell>
          <cell r="C7787">
            <v>1797.28</v>
          </cell>
        </row>
        <row r="7788">
          <cell r="B7788">
            <v>41349</v>
          </cell>
          <cell r="C7788">
            <v>1804.06</v>
          </cell>
        </row>
        <row r="7789">
          <cell r="B7789">
            <v>41350</v>
          </cell>
          <cell r="C7789">
            <v>1804.06</v>
          </cell>
        </row>
        <row r="7790">
          <cell r="B7790">
            <v>41351</v>
          </cell>
          <cell r="C7790">
            <v>1804.06</v>
          </cell>
        </row>
        <row r="7791">
          <cell r="B7791">
            <v>41352</v>
          </cell>
          <cell r="C7791">
            <v>1809.58</v>
          </cell>
        </row>
        <row r="7792">
          <cell r="B7792">
            <v>41353</v>
          </cell>
          <cell r="C7792">
            <v>1809.83</v>
          </cell>
        </row>
        <row r="7793">
          <cell r="B7793">
            <v>41354</v>
          </cell>
          <cell r="C7793">
            <v>1812.35</v>
          </cell>
        </row>
        <row r="7794">
          <cell r="B7794">
            <v>41355</v>
          </cell>
          <cell r="C7794">
            <v>1822.78</v>
          </cell>
        </row>
        <row r="7795">
          <cell r="B7795">
            <v>41356</v>
          </cell>
          <cell r="C7795">
            <v>1825.79</v>
          </cell>
        </row>
        <row r="7796">
          <cell r="B7796">
            <v>41357</v>
          </cell>
          <cell r="C7796">
            <v>1825.79</v>
          </cell>
        </row>
        <row r="7797">
          <cell r="B7797">
            <v>41358</v>
          </cell>
          <cell r="C7797">
            <v>1825.79</v>
          </cell>
        </row>
        <row r="7798">
          <cell r="B7798">
            <v>41359</v>
          </cell>
          <cell r="C7798">
            <v>1825.79</v>
          </cell>
        </row>
        <row r="7799">
          <cell r="B7799">
            <v>41360</v>
          </cell>
          <cell r="C7799">
            <v>1828.95</v>
          </cell>
        </row>
        <row r="7800">
          <cell r="B7800">
            <v>41361</v>
          </cell>
          <cell r="C7800">
            <v>1832.2</v>
          </cell>
        </row>
        <row r="7801">
          <cell r="B7801">
            <v>41362</v>
          </cell>
          <cell r="C7801">
            <v>1832.2</v>
          </cell>
        </row>
        <row r="7802">
          <cell r="B7802">
            <v>41363</v>
          </cell>
          <cell r="C7802">
            <v>1832.2</v>
          </cell>
        </row>
        <row r="7803">
          <cell r="B7803">
            <v>41364</v>
          </cell>
          <cell r="C7803">
            <v>1832.2</v>
          </cell>
        </row>
        <row r="7804">
          <cell r="B7804">
            <v>41365</v>
          </cell>
          <cell r="C7804">
            <v>1832.2</v>
          </cell>
        </row>
        <row r="7805">
          <cell r="B7805">
            <v>41366</v>
          </cell>
          <cell r="C7805">
            <v>1823.12</v>
          </cell>
        </row>
        <row r="7806">
          <cell r="B7806">
            <v>41367</v>
          </cell>
          <cell r="C7806">
            <v>1817.14</v>
          </cell>
        </row>
        <row r="7807">
          <cell r="B7807">
            <v>41368</v>
          </cell>
          <cell r="C7807">
            <v>1819.93</v>
          </cell>
        </row>
        <row r="7808">
          <cell r="B7808">
            <v>41369</v>
          </cell>
          <cell r="C7808">
            <v>1829.01</v>
          </cell>
        </row>
        <row r="7809">
          <cell r="B7809">
            <v>41370</v>
          </cell>
          <cell r="C7809">
            <v>1826.88</v>
          </cell>
        </row>
        <row r="7810">
          <cell r="B7810">
            <v>41371</v>
          </cell>
          <cell r="C7810">
            <v>1826.88</v>
          </cell>
        </row>
        <row r="7811">
          <cell r="B7811">
            <v>41372</v>
          </cell>
          <cell r="C7811">
            <v>1826.88</v>
          </cell>
        </row>
        <row r="7812">
          <cell r="B7812">
            <v>41373</v>
          </cell>
          <cell r="C7812">
            <v>1817.66</v>
          </cell>
        </row>
        <row r="7813">
          <cell r="B7813">
            <v>41374</v>
          </cell>
          <cell r="C7813">
            <v>1813.11</v>
          </cell>
        </row>
        <row r="7814">
          <cell r="B7814">
            <v>41375</v>
          </cell>
          <cell r="C7814">
            <v>1821.2</v>
          </cell>
        </row>
        <row r="7815">
          <cell r="B7815">
            <v>41376</v>
          </cell>
          <cell r="C7815">
            <v>1823.84</v>
          </cell>
        </row>
        <row r="7816">
          <cell r="B7816">
            <v>41377</v>
          </cell>
          <cell r="C7816">
            <v>1827.79</v>
          </cell>
        </row>
        <row r="7817">
          <cell r="B7817">
            <v>41378</v>
          </cell>
          <cell r="C7817">
            <v>1827.79</v>
          </cell>
        </row>
        <row r="7818">
          <cell r="B7818">
            <v>41379</v>
          </cell>
          <cell r="C7818">
            <v>1827.79</v>
          </cell>
        </row>
        <row r="7819">
          <cell r="B7819">
            <v>41380</v>
          </cell>
          <cell r="C7819">
            <v>1834.86</v>
          </cell>
        </row>
        <row r="7820">
          <cell r="B7820">
            <v>41381</v>
          </cell>
          <cell r="C7820">
            <v>1833.98</v>
          </cell>
        </row>
        <row r="7821">
          <cell r="B7821">
            <v>41382</v>
          </cell>
          <cell r="C7821">
            <v>1846.46</v>
          </cell>
        </row>
        <row r="7822">
          <cell r="B7822">
            <v>41383</v>
          </cell>
          <cell r="C7822">
            <v>1847.02</v>
          </cell>
        </row>
        <row r="7823">
          <cell r="B7823">
            <v>41384</v>
          </cell>
          <cell r="C7823">
            <v>1835.57</v>
          </cell>
        </row>
        <row r="7824">
          <cell r="B7824">
            <v>41385</v>
          </cell>
          <cell r="C7824">
            <v>1835.57</v>
          </cell>
        </row>
        <row r="7825">
          <cell r="B7825">
            <v>41386</v>
          </cell>
          <cell r="C7825">
            <v>1835.57</v>
          </cell>
        </row>
        <row r="7826">
          <cell r="B7826">
            <v>41387</v>
          </cell>
          <cell r="C7826">
            <v>1841.14</v>
          </cell>
        </row>
        <row r="7827">
          <cell r="B7827">
            <v>41388</v>
          </cell>
          <cell r="C7827">
            <v>1838.03</v>
          </cell>
        </row>
        <row r="7828">
          <cell r="B7828">
            <v>41389</v>
          </cell>
          <cell r="C7828">
            <v>1836.79</v>
          </cell>
        </row>
        <row r="7829">
          <cell r="B7829">
            <v>41390</v>
          </cell>
          <cell r="C7829">
            <v>1830.84</v>
          </cell>
        </row>
        <row r="7830">
          <cell r="B7830">
            <v>41391</v>
          </cell>
          <cell r="C7830">
            <v>1833.7</v>
          </cell>
        </row>
        <row r="7831">
          <cell r="B7831">
            <v>41392</v>
          </cell>
          <cell r="C7831">
            <v>1833.7</v>
          </cell>
        </row>
        <row r="7832">
          <cell r="B7832">
            <v>41393</v>
          </cell>
          <cell r="C7832">
            <v>1833.7</v>
          </cell>
        </row>
        <row r="7833">
          <cell r="B7833">
            <v>41394</v>
          </cell>
          <cell r="C7833">
            <v>1828.79</v>
          </cell>
        </row>
        <row r="7834">
          <cell r="B7834">
            <v>41395</v>
          </cell>
          <cell r="C7834">
            <v>1825.83</v>
          </cell>
        </row>
        <row r="7835">
          <cell r="B7835">
            <v>41396</v>
          </cell>
          <cell r="C7835">
            <v>1825.83</v>
          </cell>
        </row>
        <row r="7836">
          <cell r="B7836">
            <v>41397</v>
          </cell>
          <cell r="C7836">
            <v>1836.34</v>
          </cell>
        </row>
        <row r="7837">
          <cell r="B7837">
            <v>41398</v>
          </cell>
          <cell r="C7837">
            <v>1835.88</v>
          </cell>
        </row>
        <row r="7838">
          <cell r="B7838">
            <v>41399</v>
          </cell>
          <cell r="C7838">
            <v>1835.88</v>
          </cell>
        </row>
        <row r="7839">
          <cell r="B7839">
            <v>41400</v>
          </cell>
          <cell r="C7839">
            <v>1835.88</v>
          </cell>
        </row>
        <row r="7840">
          <cell r="B7840">
            <v>41401</v>
          </cell>
          <cell r="C7840">
            <v>1831.42</v>
          </cell>
        </row>
        <row r="7841">
          <cell r="B7841">
            <v>41402</v>
          </cell>
          <cell r="C7841">
            <v>1827.13</v>
          </cell>
        </row>
        <row r="7842">
          <cell r="B7842">
            <v>41403</v>
          </cell>
          <cell r="C7842">
            <v>1830.7</v>
          </cell>
        </row>
        <row r="7843">
          <cell r="B7843">
            <v>41404</v>
          </cell>
          <cell r="C7843">
            <v>1833.07</v>
          </cell>
        </row>
        <row r="7844">
          <cell r="B7844">
            <v>41405</v>
          </cell>
          <cell r="C7844">
            <v>1834.83</v>
          </cell>
        </row>
        <row r="7845">
          <cell r="B7845">
            <v>41406</v>
          </cell>
          <cell r="C7845">
            <v>1834.83</v>
          </cell>
        </row>
        <row r="7846">
          <cell r="B7846">
            <v>41407</v>
          </cell>
          <cell r="C7846">
            <v>1834.83</v>
          </cell>
        </row>
        <row r="7847">
          <cell r="B7847">
            <v>41408</v>
          </cell>
          <cell r="C7847">
            <v>1834.83</v>
          </cell>
        </row>
        <row r="7848">
          <cell r="B7848">
            <v>41409</v>
          </cell>
          <cell r="C7848">
            <v>1838.63</v>
          </cell>
        </row>
        <row r="7849">
          <cell r="B7849">
            <v>41410</v>
          </cell>
          <cell r="C7849">
            <v>1843.75</v>
          </cell>
        </row>
        <row r="7850">
          <cell r="B7850">
            <v>41411</v>
          </cell>
          <cell r="C7850">
            <v>1838.82</v>
          </cell>
        </row>
        <row r="7851">
          <cell r="B7851">
            <v>41412</v>
          </cell>
          <cell r="C7851">
            <v>1841.35</v>
          </cell>
        </row>
        <row r="7852">
          <cell r="B7852">
            <v>41413</v>
          </cell>
          <cell r="C7852">
            <v>1841.35</v>
          </cell>
        </row>
        <row r="7853">
          <cell r="B7853">
            <v>41414</v>
          </cell>
          <cell r="C7853">
            <v>1841.35</v>
          </cell>
        </row>
        <row r="7854">
          <cell r="B7854">
            <v>41415</v>
          </cell>
          <cell r="C7854">
            <v>1842.59</v>
          </cell>
        </row>
        <row r="7855">
          <cell r="B7855">
            <v>41416</v>
          </cell>
          <cell r="C7855">
            <v>1846.76</v>
          </cell>
        </row>
        <row r="7856">
          <cell r="B7856">
            <v>41417</v>
          </cell>
          <cell r="C7856">
            <v>1850.55</v>
          </cell>
        </row>
        <row r="7857">
          <cell r="B7857">
            <v>41418</v>
          </cell>
          <cell r="C7857">
            <v>1864.02</v>
          </cell>
        </row>
        <row r="7858">
          <cell r="B7858">
            <v>41419</v>
          </cell>
          <cell r="C7858">
            <v>1874.1</v>
          </cell>
        </row>
        <row r="7859">
          <cell r="B7859">
            <v>41420</v>
          </cell>
          <cell r="C7859">
            <v>1874.1</v>
          </cell>
        </row>
        <row r="7860">
          <cell r="B7860">
            <v>41421</v>
          </cell>
          <cell r="C7860">
            <v>1874.1</v>
          </cell>
        </row>
        <row r="7861">
          <cell r="B7861">
            <v>41422</v>
          </cell>
          <cell r="C7861">
            <v>1874.1</v>
          </cell>
        </row>
        <row r="7862">
          <cell r="B7862">
            <v>41423</v>
          </cell>
          <cell r="C7862">
            <v>1897.1</v>
          </cell>
        </row>
        <row r="7863">
          <cell r="B7863">
            <v>41424</v>
          </cell>
          <cell r="C7863">
            <v>1894.13</v>
          </cell>
        </row>
        <row r="7864">
          <cell r="B7864">
            <v>41425</v>
          </cell>
          <cell r="C7864">
            <v>1891.48</v>
          </cell>
        </row>
        <row r="7865">
          <cell r="B7865">
            <v>41426</v>
          </cell>
          <cell r="C7865">
            <v>1907.76</v>
          </cell>
        </row>
        <row r="7866">
          <cell r="B7866">
            <v>41427</v>
          </cell>
          <cell r="C7866">
            <v>1907.76</v>
          </cell>
        </row>
        <row r="7867">
          <cell r="B7867">
            <v>41428</v>
          </cell>
          <cell r="C7867">
            <v>1907.76</v>
          </cell>
        </row>
        <row r="7868">
          <cell r="B7868">
            <v>41429</v>
          </cell>
          <cell r="C7868">
            <v>1907.76</v>
          </cell>
        </row>
        <row r="7869">
          <cell r="B7869">
            <v>41430</v>
          </cell>
          <cell r="C7869">
            <v>1894.4</v>
          </cell>
        </row>
        <row r="7870">
          <cell r="B7870">
            <v>41431</v>
          </cell>
          <cell r="C7870">
            <v>1899.08</v>
          </cell>
        </row>
        <row r="7871">
          <cell r="B7871">
            <v>41432</v>
          </cell>
          <cell r="C7871">
            <v>1907.88</v>
          </cell>
        </row>
        <row r="7872">
          <cell r="B7872">
            <v>41433</v>
          </cell>
          <cell r="C7872">
            <v>1898.8</v>
          </cell>
        </row>
        <row r="7873">
          <cell r="B7873">
            <v>41434</v>
          </cell>
          <cell r="C7873">
            <v>1898.8</v>
          </cell>
        </row>
        <row r="7874">
          <cell r="B7874">
            <v>41435</v>
          </cell>
          <cell r="C7874">
            <v>1898.8</v>
          </cell>
        </row>
        <row r="7875">
          <cell r="B7875">
            <v>41436</v>
          </cell>
          <cell r="C7875">
            <v>1898.8</v>
          </cell>
        </row>
        <row r="7876">
          <cell r="B7876">
            <v>41437</v>
          </cell>
          <cell r="C7876">
            <v>1907.12</v>
          </cell>
        </row>
        <row r="7877">
          <cell r="B7877">
            <v>41438</v>
          </cell>
          <cell r="C7877">
            <v>1897.53</v>
          </cell>
        </row>
        <row r="7878">
          <cell r="B7878">
            <v>41439</v>
          </cell>
          <cell r="C7878">
            <v>1895.01</v>
          </cell>
        </row>
        <row r="7879">
          <cell r="B7879">
            <v>41440</v>
          </cell>
          <cell r="C7879">
            <v>1882.38</v>
          </cell>
        </row>
        <row r="7880">
          <cell r="B7880">
            <v>41441</v>
          </cell>
          <cell r="C7880">
            <v>1882.38</v>
          </cell>
        </row>
        <row r="7881">
          <cell r="B7881">
            <v>41442</v>
          </cell>
          <cell r="C7881">
            <v>1882.38</v>
          </cell>
        </row>
        <row r="7882">
          <cell r="B7882">
            <v>41443</v>
          </cell>
          <cell r="C7882">
            <v>1883.57</v>
          </cell>
        </row>
        <row r="7883">
          <cell r="B7883">
            <v>41444</v>
          </cell>
          <cell r="C7883">
            <v>1902.47</v>
          </cell>
        </row>
        <row r="7884">
          <cell r="B7884">
            <v>41445</v>
          </cell>
          <cell r="C7884">
            <v>1900.87</v>
          </cell>
        </row>
        <row r="7885">
          <cell r="B7885">
            <v>41446</v>
          </cell>
          <cell r="C7885">
            <v>1937.26</v>
          </cell>
        </row>
        <row r="7886">
          <cell r="B7886">
            <v>41447</v>
          </cell>
          <cell r="C7886">
            <v>1941.06</v>
          </cell>
        </row>
        <row r="7887">
          <cell r="B7887">
            <v>41448</v>
          </cell>
          <cell r="C7887">
            <v>1941.06</v>
          </cell>
        </row>
        <row r="7888">
          <cell r="B7888">
            <v>41449</v>
          </cell>
          <cell r="C7888">
            <v>1941.06</v>
          </cell>
        </row>
        <row r="7889">
          <cell r="B7889">
            <v>41450</v>
          </cell>
          <cell r="C7889">
            <v>1942.97</v>
          </cell>
        </row>
        <row r="7890">
          <cell r="B7890">
            <v>41451</v>
          </cell>
          <cell r="C7890">
            <v>1928.27</v>
          </cell>
        </row>
        <row r="7891">
          <cell r="B7891">
            <v>41452</v>
          </cell>
          <cell r="C7891">
            <v>1921.86</v>
          </cell>
        </row>
        <row r="7892">
          <cell r="B7892">
            <v>41453</v>
          </cell>
          <cell r="C7892">
            <v>1922.63</v>
          </cell>
        </row>
        <row r="7893">
          <cell r="B7893">
            <v>41454</v>
          </cell>
          <cell r="C7893">
            <v>1929</v>
          </cell>
        </row>
        <row r="7894">
          <cell r="B7894">
            <v>41455</v>
          </cell>
          <cell r="C7894">
            <v>1929</v>
          </cell>
        </row>
        <row r="7895">
          <cell r="B7895">
            <v>41456</v>
          </cell>
          <cell r="C7895">
            <v>1929</v>
          </cell>
        </row>
        <row r="7896">
          <cell r="B7896">
            <v>41457</v>
          </cell>
          <cell r="C7896">
            <v>1929</v>
          </cell>
        </row>
        <row r="7897">
          <cell r="B7897">
            <v>41458</v>
          </cell>
          <cell r="C7897">
            <v>1919.42</v>
          </cell>
        </row>
        <row r="7898">
          <cell r="B7898">
            <v>41459</v>
          </cell>
          <cell r="C7898">
            <v>1915.45</v>
          </cell>
        </row>
        <row r="7899">
          <cell r="B7899">
            <v>41460</v>
          </cell>
          <cell r="C7899">
            <v>1915.45</v>
          </cell>
        </row>
        <row r="7900">
          <cell r="B7900">
            <v>41461</v>
          </cell>
          <cell r="C7900">
            <v>1927.4</v>
          </cell>
        </row>
        <row r="7901">
          <cell r="B7901">
            <v>41462</v>
          </cell>
          <cell r="C7901">
            <v>1927.4</v>
          </cell>
        </row>
        <row r="7902">
          <cell r="B7902">
            <v>41463</v>
          </cell>
          <cell r="C7902">
            <v>1927.4</v>
          </cell>
        </row>
        <row r="7903">
          <cell r="B7903">
            <v>41464</v>
          </cell>
          <cell r="C7903">
            <v>1926.84</v>
          </cell>
        </row>
        <row r="7904">
          <cell r="B7904">
            <v>41465</v>
          </cell>
          <cell r="C7904">
            <v>1920.12</v>
          </cell>
        </row>
        <row r="7905">
          <cell r="B7905">
            <v>41466</v>
          </cell>
          <cell r="C7905">
            <v>1920.24</v>
          </cell>
        </row>
        <row r="7906">
          <cell r="B7906">
            <v>41467</v>
          </cell>
          <cell r="C7906">
            <v>1910.79</v>
          </cell>
        </row>
        <row r="7907">
          <cell r="B7907">
            <v>41468</v>
          </cell>
          <cell r="C7907">
            <v>1905.25</v>
          </cell>
        </row>
        <row r="7908">
          <cell r="B7908">
            <v>41469</v>
          </cell>
          <cell r="C7908">
            <v>1905.25</v>
          </cell>
        </row>
        <row r="7909">
          <cell r="B7909">
            <v>41470</v>
          </cell>
          <cell r="C7909">
            <v>1905.25</v>
          </cell>
        </row>
        <row r="7910">
          <cell r="B7910">
            <v>41471</v>
          </cell>
          <cell r="C7910">
            <v>1893.16</v>
          </cell>
        </row>
        <row r="7911">
          <cell r="B7911">
            <v>41472</v>
          </cell>
          <cell r="C7911">
            <v>1878.42</v>
          </cell>
        </row>
        <row r="7912">
          <cell r="B7912">
            <v>41473</v>
          </cell>
          <cell r="C7912">
            <v>1873.25</v>
          </cell>
        </row>
        <row r="7913">
          <cell r="B7913">
            <v>41474</v>
          </cell>
          <cell r="C7913">
            <v>1883.29</v>
          </cell>
        </row>
        <row r="7914">
          <cell r="B7914">
            <v>41475</v>
          </cell>
          <cell r="C7914">
            <v>1884.01</v>
          </cell>
        </row>
        <row r="7915">
          <cell r="B7915">
            <v>41476</v>
          </cell>
          <cell r="C7915">
            <v>1884.01</v>
          </cell>
        </row>
        <row r="7916">
          <cell r="B7916">
            <v>41477</v>
          </cell>
          <cell r="C7916">
            <v>1884.01</v>
          </cell>
        </row>
        <row r="7917">
          <cell r="B7917">
            <v>41478</v>
          </cell>
          <cell r="C7917">
            <v>1880.87</v>
          </cell>
        </row>
        <row r="7918">
          <cell r="B7918">
            <v>41479</v>
          </cell>
          <cell r="C7918">
            <v>1886.06</v>
          </cell>
        </row>
        <row r="7919">
          <cell r="B7919">
            <v>41480</v>
          </cell>
          <cell r="C7919">
            <v>1891.02</v>
          </cell>
        </row>
        <row r="7920">
          <cell r="B7920">
            <v>41481</v>
          </cell>
          <cell r="C7920">
            <v>1887.4</v>
          </cell>
        </row>
        <row r="7921">
          <cell r="B7921">
            <v>41482</v>
          </cell>
          <cell r="C7921">
            <v>1886.26</v>
          </cell>
        </row>
        <row r="7922">
          <cell r="B7922">
            <v>41483</v>
          </cell>
          <cell r="C7922">
            <v>1886.26</v>
          </cell>
        </row>
        <row r="7923">
          <cell r="B7923">
            <v>41484</v>
          </cell>
          <cell r="C7923">
            <v>1886.26</v>
          </cell>
        </row>
        <row r="7924">
          <cell r="B7924">
            <v>41485</v>
          </cell>
          <cell r="C7924">
            <v>1888.95</v>
          </cell>
        </row>
        <row r="7925">
          <cell r="B7925">
            <v>41486</v>
          </cell>
          <cell r="C7925">
            <v>1890.33</v>
          </cell>
        </row>
        <row r="7926">
          <cell r="B7926">
            <v>41487</v>
          </cell>
          <cell r="C7926">
            <v>1896.15</v>
          </cell>
        </row>
        <row r="7927">
          <cell r="B7927">
            <v>41488</v>
          </cell>
          <cell r="C7927">
            <v>1896.65</v>
          </cell>
        </row>
        <row r="7928">
          <cell r="B7928">
            <v>41489</v>
          </cell>
          <cell r="C7928">
            <v>1891.67</v>
          </cell>
        </row>
        <row r="7929">
          <cell r="B7929">
            <v>41490</v>
          </cell>
          <cell r="C7929">
            <v>1891.67</v>
          </cell>
        </row>
        <row r="7930">
          <cell r="B7930">
            <v>41491</v>
          </cell>
          <cell r="C7930">
            <v>1891.67</v>
          </cell>
        </row>
        <row r="7931">
          <cell r="B7931">
            <v>41492</v>
          </cell>
          <cell r="C7931">
            <v>1883.24</v>
          </cell>
        </row>
        <row r="7932">
          <cell r="B7932">
            <v>41493</v>
          </cell>
          <cell r="C7932">
            <v>1882.01</v>
          </cell>
        </row>
        <row r="7933">
          <cell r="B7933">
            <v>41494</v>
          </cell>
          <cell r="C7933">
            <v>1882.01</v>
          </cell>
        </row>
        <row r="7934">
          <cell r="B7934">
            <v>41495</v>
          </cell>
          <cell r="C7934">
            <v>1877.23</v>
          </cell>
        </row>
        <row r="7935">
          <cell r="B7935">
            <v>41496</v>
          </cell>
          <cell r="C7935">
            <v>1873.92</v>
          </cell>
        </row>
        <row r="7936">
          <cell r="B7936">
            <v>41497</v>
          </cell>
          <cell r="C7936">
            <v>1873.92</v>
          </cell>
        </row>
        <row r="7937">
          <cell r="B7937">
            <v>41498</v>
          </cell>
          <cell r="C7937">
            <v>1873.92</v>
          </cell>
        </row>
        <row r="7938">
          <cell r="B7938">
            <v>41499</v>
          </cell>
          <cell r="C7938">
            <v>1868.9</v>
          </cell>
        </row>
        <row r="7939">
          <cell r="B7939">
            <v>41500</v>
          </cell>
          <cell r="C7939">
            <v>1882.36</v>
          </cell>
        </row>
        <row r="7940">
          <cell r="B7940">
            <v>41501</v>
          </cell>
          <cell r="C7940">
            <v>1883.15</v>
          </cell>
        </row>
        <row r="7941">
          <cell r="B7941">
            <v>41502</v>
          </cell>
          <cell r="C7941">
            <v>1901.03</v>
          </cell>
        </row>
        <row r="7942">
          <cell r="B7942">
            <v>41503</v>
          </cell>
          <cell r="C7942">
            <v>1907.06</v>
          </cell>
        </row>
        <row r="7943">
          <cell r="B7943">
            <v>41504</v>
          </cell>
          <cell r="C7943">
            <v>1907.06</v>
          </cell>
        </row>
        <row r="7944">
          <cell r="B7944">
            <v>41505</v>
          </cell>
          <cell r="C7944">
            <v>1907.06</v>
          </cell>
        </row>
        <row r="7945">
          <cell r="B7945">
            <v>41506</v>
          </cell>
          <cell r="C7945">
            <v>1907.06</v>
          </cell>
        </row>
        <row r="7946">
          <cell r="B7946">
            <v>41507</v>
          </cell>
          <cell r="C7946">
            <v>1922.73</v>
          </cell>
        </row>
        <row r="7947">
          <cell r="B7947">
            <v>41508</v>
          </cell>
          <cell r="C7947">
            <v>1929.75</v>
          </cell>
        </row>
        <row r="7948">
          <cell r="B7948">
            <v>41509</v>
          </cell>
          <cell r="C7948">
            <v>1921.99</v>
          </cell>
        </row>
        <row r="7949">
          <cell r="B7949">
            <v>41510</v>
          </cell>
          <cell r="C7949">
            <v>1911.16</v>
          </cell>
        </row>
        <row r="7950">
          <cell r="B7950">
            <v>41511</v>
          </cell>
          <cell r="C7950">
            <v>1911.16</v>
          </cell>
        </row>
        <row r="7951">
          <cell r="B7951">
            <v>41512</v>
          </cell>
          <cell r="C7951">
            <v>1911.16</v>
          </cell>
        </row>
        <row r="7952">
          <cell r="B7952">
            <v>41513</v>
          </cell>
          <cell r="C7952">
            <v>1922.96</v>
          </cell>
        </row>
        <row r="7953">
          <cell r="B7953">
            <v>41514</v>
          </cell>
          <cell r="C7953">
            <v>1938.26</v>
          </cell>
        </row>
        <row r="7954">
          <cell r="B7954">
            <v>41515</v>
          </cell>
          <cell r="C7954">
            <v>1939.85</v>
          </cell>
        </row>
        <row r="7955">
          <cell r="B7955">
            <v>41516</v>
          </cell>
          <cell r="C7955">
            <v>1943.04</v>
          </cell>
        </row>
        <row r="7956">
          <cell r="B7956">
            <v>41517</v>
          </cell>
          <cell r="C7956">
            <v>1935.43</v>
          </cell>
        </row>
        <row r="7957">
          <cell r="B7957">
            <v>41518</v>
          </cell>
          <cell r="C7957">
            <v>1935.43</v>
          </cell>
        </row>
        <row r="7958">
          <cell r="B7958">
            <v>41519</v>
          </cell>
          <cell r="C7958">
            <v>1935.43</v>
          </cell>
        </row>
        <row r="7959">
          <cell r="B7959">
            <v>41520</v>
          </cell>
          <cell r="C7959">
            <v>1935.43</v>
          </cell>
        </row>
        <row r="7960">
          <cell r="B7960">
            <v>41521</v>
          </cell>
          <cell r="C7960">
            <v>1946.28</v>
          </cell>
        </row>
        <row r="7961">
          <cell r="B7961">
            <v>41522</v>
          </cell>
          <cell r="C7961">
            <v>1938.99</v>
          </cell>
        </row>
        <row r="7962">
          <cell r="B7962">
            <v>41523</v>
          </cell>
          <cell r="C7962">
            <v>1952.11</v>
          </cell>
        </row>
        <row r="7963">
          <cell r="B7963">
            <v>41524</v>
          </cell>
          <cell r="C7963">
            <v>1947.99</v>
          </cell>
        </row>
        <row r="7964">
          <cell r="B7964">
            <v>41525</v>
          </cell>
          <cell r="C7964">
            <v>1947.99</v>
          </cell>
        </row>
        <row r="7965">
          <cell r="B7965">
            <v>41526</v>
          </cell>
          <cell r="C7965">
            <v>1947.99</v>
          </cell>
        </row>
        <row r="7966">
          <cell r="B7966">
            <v>41527</v>
          </cell>
          <cell r="C7966">
            <v>1946.06</v>
          </cell>
        </row>
        <row r="7967">
          <cell r="B7967">
            <v>41528</v>
          </cell>
          <cell r="C7967">
            <v>1935.55</v>
          </cell>
        </row>
        <row r="7968">
          <cell r="B7968">
            <v>41529</v>
          </cell>
          <cell r="C7968">
            <v>1923.64</v>
          </cell>
        </row>
        <row r="7969">
          <cell r="B7969">
            <v>41530</v>
          </cell>
          <cell r="C7969">
            <v>1919.25</v>
          </cell>
        </row>
        <row r="7970">
          <cell r="B7970">
            <v>41531</v>
          </cell>
          <cell r="C7970">
            <v>1919.54</v>
          </cell>
        </row>
        <row r="7971">
          <cell r="B7971">
            <v>41532</v>
          </cell>
          <cell r="C7971">
            <v>1919.54</v>
          </cell>
        </row>
        <row r="7972">
          <cell r="B7972">
            <v>41533</v>
          </cell>
          <cell r="C7972">
            <v>1919.54</v>
          </cell>
        </row>
        <row r="7973">
          <cell r="B7973">
            <v>41534</v>
          </cell>
          <cell r="C7973">
            <v>1917.03</v>
          </cell>
        </row>
        <row r="7974">
          <cell r="B7974">
            <v>41535</v>
          </cell>
          <cell r="C7974">
            <v>1914.12</v>
          </cell>
        </row>
        <row r="7975">
          <cell r="B7975">
            <v>41536</v>
          </cell>
          <cell r="C7975">
            <v>1911.3</v>
          </cell>
        </row>
        <row r="7976">
          <cell r="B7976">
            <v>41537</v>
          </cell>
          <cell r="C7976">
            <v>1887.3</v>
          </cell>
        </row>
        <row r="7977">
          <cell r="B7977">
            <v>41538</v>
          </cell>
          <cell r="C7977">
            <v>1889.12</v>
          </cell>
        </row>
        <row r="7978">
          <cell r="B7978">
            <v>41539</v>
          </cell>
          <cell r="C7978">
            <v>1889.12</v>
          </cell>
        </row>
        <row r="7979">
          <cell r="B7979">
            <v>41540</v>
          </cell>
          <cell r="C7979">
            <v>1889.12</v>
          </cell>
        </row>
        <row r="7980">
          <cell r="B7980">
            <v>41541</v>
          </cell>
          <cell r="C7980">
            <v>1892.89</v>
          </cell>
        </row>
        <row r="7981">
          <cell r="B7981">
            <v>41542</v>
          </cell>
          <cell r="C7981">
            <v>1888.14</v>
          </cell>
        </row>
        <row r="7982">
          <cell r="B7982">
            <v>41543</v>
          </cell>
          <cell r="C7982">
            <v>1893.42</v>
          </cell>
        </row>
        <row r="7983">
          <cell r="B7983">
            <v>41544</v>
          </cell>
          <cell r="C7983">
            <v>1899.1</v>
          </cell>
        </row>
        <row r="7984">
          <cell r="B7984">
            <v>41545</v>
          </cell>
          <cell r="C7984">
            <v>1914.65</v>
          </cell>
        </row>
        <row r="7985">
          <cell r="B7985">
            <v>41546</v>
          </cell>
          <cell r="C7985">
            <v>1914.65</v>
          </cell>
        </row>
        <row r="7986">
          <cell r="B7986">
            <v>41547</v>
          </cell>
          <cell r="C7986">
            <v>1914.65</v>
          </cell>
        </row>
        <row r="7987">
          <cell r="B7987">
            <v>41548</v>
          </cell>
          <cell r="C7987">
            <v>1908.29</v>
          </cell>
        </row>
        <row r="7988">
          <cell r="B7988">
            <v>41549</v>
          </cell>
          <cell r="C7988">
            <v>1893.77</v>
          </cell>
        </row>
        <row r="7989">
          <cell r="B7989">
            <v>41550</v>
          </cell>
          <cell r="C7989">
            <v>1884.97</v>
          </cell>
        </row>
        <row r="7990">
          <cell r="B7990">
            <v>41552</v>
          </cell>
          <cell r="C7990">
            <v>1886.78</v>
          </cell>
        </row>
        <row r="7991">
          <cell r="B7991">
            <v>41553</v>
          </cell>
          <cell r="C7991">
            <v>1886.78</v>
          </cell>
        </row>
        <row r="7992">
          <cell r="B7992">
            <v>41554</v>
          </cell>
          <cell r="C7992">
            <v>1886.78</v>
          </cell>
        </row>
        <row r="7993">
          <cell r="B7993">
            <v>41555</v>
          </cell>
          <cell r="C7993">
            <v>1885.19</v>
          </cell>
        </row>
        <row r="7994">
          <cell r="B7994">
            <v>41556</v>
          </cell>
          <cell r="C7994">
            <v>1889.17</v>
          </cell>
        </row>
        <row r="7995">
          <cell r="B7995">
            <v>41557</v>
          </cell>
          <cell r="C7995">
            <v>1894.06</v>
          </cell>
        </row>
        <row r="7996">
          <cell r="B7996">
            <v>41558</v>
          </cell>
          <cell r="C7996">
            <v>1885.84</v>
          </cell>
        </row>
        <row r="7997">
          <cell r="B7997">
            <v>41559</v>
          </cell>
          <cell r="C7997">
            <v>1883.65</v>
          </cell>
        </row>
        <row r="7998">
          <cell r="B7998">
            <v>41560</v>
          </cell>
          <cell r="C7998">
            <v>1883.65</v>
          </cell>
        </row>
        <row r="7999">
          <cell r="B7999">
            <v>41561</v>
          </cell>
          <cell r="C7999">
            <v>1883.65</v>
          </cell>
        </row>
        <row r="8000">
          <cell r="B8000">
            <v>41562</v>
          </cell>
          <cell r="C8000">
            <v>1883.65</v>
          </cell>
        </row>
        <row r="8001">
          <cell r="B8001">
            <v>41563</v>
          </cell>
          <cell r="C8001">
            <v>1883.7</v>
          </cell>
        </row>
        <row r="8002">
          <cell r="B8002">
            <v>41564</v>
          </cell>
          <cell r="C8002">
            <v>1880.91</v>
          </cell>
        </row>
        <row r="8003">
          <cell r="B8003">
            <v>41565</v>
          </cell>
          <cell r="C8003">
            <v>1879.48</v>
          </cell>
        </row>
        <row r="8004">
          <cell r="B8004">
            <v>41566</v>
          </cell>
          <cell r="C8004">
            <v>1879.88</v>
          </cell>
        </row>
        <row r="8005">
          <cell r="B8005">
            <v>41567</v>
          </cell>
          <cell r="C8005">
            <v>1879.88</v>
          </cell>
        </row>
        <row r="8006">
          <cell r="B8006">
            <v>41568</v>
          </cell>
          <cell r="C8006">
            <v>1879.88</v>
          </cell>
        </row>
        <row r="8007">
          <cell r="B8007">
            <v>41569</v>
          </cell>
          <cell r="C8007">
            <v>1885.52</v>
          </cell>
        </row>
        <row r="8008">
          <cell r="B8008">
            <v>41570</v>
          </cell>
          <cell r="C8008">
            <v>1879.46</v>
          </cell>
        </row>
        <row r="8009">
          <cell r="B8009">
            <v>41571</v>
          </cell>
          <cell r="C8009">
            <v>1883.14</v>
          </cell>
        </row>
        <row r="8010">
          <cell r="B8010">
            <v>41572</v>
          </cell>
          <cell r="C8010">
            <v>1882.11</v>
          </cell>
        </row>
        <row r="8011">
          <cell r="B8011">
            <v>41573</v>
          </cell>
          <cell r="C8011">
            <v>1882.34</v>
          </cell>
        </row>
        <row r="8012">
          <cell r="B8012">
            <v>41574</v>
          </cell>
          <cell r="C8012">
            <v>1882.34</v>
          </cell>
        </row>
        <row r="8013">
          <cell r="B8013">
            <v>41575</v>
          </cell>
          <cell r="C8013">
            <v>1882.34</v>
          </cell>
        </row>
        <row r="8014">
          <cell r="B8014">
            <v>41576</v>
          </cell>
          <cell r="C8014">
            <v>1884.43</v>
          </cell>
        </row>
        <row r="8015">
          <cell r="B8015">
            <v>41577</v>
          </cell>
          <cell r="C8015">
            <v>1883.42</v>
          </cell>
        </row>
        <row r="8016">
          <cell r="B8016">
            <v>41578</v>
          </cell>
          <cell r="C8016">
            <v>1884.06</v>
          </cell>
        </row>
        <row r="8017">
          <cell r="B8017">
            <v>41579</v>
          </cell>
          <cell r="C8017">
            <v>1889.16</v>
          </cell>
        </row>
        <row r="8018">
          <cell r="B8018">
            <v>41580</v>
          </cell>
          <cell r="C8018">
            <v>1901.22</v>
          </cell>
        </row>
        <row r="8019">
          <cell r="B8019">
            <v>41581</v>
          </cell>
          <cell r="C8019">
            <v>1901.22</v>
          </cell>
        </row>
        <row r="8020">
          <cell r="B8020">
            <v>41582</v>
          </cell>
          <cell r="C8020">
            <v>1901.22</v>
          </cell>
        </row>
        <row r="8021">
          <cell r="B8021">
            <v>41583</v>
          </cell>
          <cell r="C8021">
            <v>1901.22</v>
          </cell>
        </row>
        <row r="8022">
          <cell r="B8022">
            <v>41584</v>
          </cell>
          <cell r="C8022">
            <v>1916.22</v>
          </cell>
        </row>
        <row r="8023">
          <cell r="B8023">
            <v>41585</v>
          </cell>
          <cell r="C8023">
            <v>1916.8</v>
          </cell>
        </row>
        <row r="8024">
          <cell r="B8024">
            <v>41586</v>
          </cell>
          <cell r="C8024">
            <v>1924.87</v>
          </cell>
        </row>
        <row r="8025">
          <cell r="B8025">
            <v>41587</v>
          </cell>
          <cell r="C8025">
            <v>1932.77</v>
          </cell>
        </row>
        <row r="8026">
          <cell r="B8026">
            <v>41588</v>
          </cell>
          <cell r="C8026">
            <v>1932.77</v>
          </cell>
        </row>
        <row r="8027">
          <cell r="B8027">
            <v>41589</v>
          </cell>
          <cell r="C8027">
            <v>1932.77</v>
          </cell>
        </row>
        <row r="8028">
          <cell r="B8028">
            <v>41590</v>
          </cell>
          <cell r="C8028">
            <v>1932.77</v>
          </cell>
        </row>
        <row r="8029">
          <cell r="B8029">
            <v>41591</v>
          </cell>
          <cell r="C8029">
            <v>1928.96</v>
          </cell>
        </row>
        <row r="8030">
          <cell r="B8030">
            <v>41592</v>
          </cell>
          <cell r="C8030">
            <v>1932.03</v>
          </cell>
        </row>
        <row r="8031">
          <cell r="B8031">
            <v>41593</v>
          </cell>
          <cell r="C8031">
            <v>1929.24</v>
          </cell>
        </row>
        <row r="8032">
          <cell r="B8032">
            <v>41594</v>
          </cell>
          <cell r="C8032">
            <v>1919.89</v>
          </cell>
        </row>
        <row r="8033">
          <cell r="B8033">
            <v>41595</v>
          </cell>
          <cell r="C8033">
            <v>1919.89</v>
          </cell>
        </row>
        <row r="8034">
          <cell r="B8034">
            <v>41596</v>
          </cell>
          <cell r="C8034">
            <v>1919.89</v>
          </cell>
        </row>
        <row r="8035">
          <cell r="B8035">
            <v>41597</v>
          </cell>
          <cell r="C8035">
            <v>1915.37</v>
          </cell>
        </row>
        <row r="8036">
          <cell r="B8036">
            <v>41598</v>
          </cell>
          <cell r="C8036">
            <v>1919.2</v>
          </cell>
        </row>
        <row r="8037">
          <cell r="B8037">
            <v>41599</v>
          </cell>
          <cell r="C8037">
            <v>1923.19</v>
          </cell>
        </row>
        <row r="8038">
          <cell r="B8038">
            <v>41600</v>
          </cell>
          <cell r="C8038">
            <v>1932.42</v>
          </cell>
        </row>
        <row r="8039">
          <cell r="B8039">
            <v>41601</v>
          </cell>
          <cell r="C8039">
            <v>1929.13</v>
          </cell>
        </row>
        <row r="8040">
          <cell r="B8040">
            <v>41602</v>
          </cell>
          <cell r="C8040">
            <v>1929.13</v>
          </cell>
        </row>
        <row r="8041">
          <cell r="B8041">
            <v>41603</v>
          </cell>
          <cell r="C8041">
            <v>1929.13</v>
          </cell>
        </row>
        <row r="8042">
          <cell r="B8042">
            <v>41604</v>
          </cell>
          <cell r="C8042">
            <v>1926.99</v>
          </cell>
        </row>
        <row r="8043">
          <cell r="B8043">
            <v>41605</v>
          </cell>
          <cell r="C8043">
            <v>1926.74</v>
          </cell>
        </row>
        <row r="8044">
          <cell r="B8044">
            <v>41606</v>
          </cell>
          <cell r="C8044">
            <v>1928.25</v>
          </cell>
        </row>
        <row r="8045">
          <cell r="B8045">
            <v>41607</v>
          </cell>
          <cell r="C8045">
            <v>1928.25</v>
          </cell>
        </row>
        <row r="8046">
          <cell r="B8046">
            <v>41608</v>
          </cell>
          <cell r="C8046">
            <v>1931.88</v>
          </cell>
        </row>
        <row r="8047">
          <cell r="B8047">
            <v>41609</v>
          </cell>
          <cell r="C8047">
            <v>1931.88</v>
          </cell>
        </row>
        <row r="8048">
          <cell r="B8048">
            <v>41610</v>
          </cell>
          <cell r="C8048">
            <v>1931.88</v>
          </cell>
        </row>
        <row r="8049">
          <cell r="B8049">
            <v>41611</v>
          </cell>
          <cell r="C8049">
            <v>1934.16</v>
          </cell>
        </row>
        <row r="8050">
          <cell r="B8050">
            <v>41612</v>
          </cell>
          <cell r="C8050">
            <v>1941.01</v>
          </cell>
        </row>
        <row r="8051">
          <cell r="B8051">
            <v>41613</v>
          </cell>
          <cell r="C8051">
            <v>1948.48</v>
          </cell>
        </row>
        <row r="8052">
          <cell r="B8052">
            <v>41614</v>
          </cell>
          <cell r="C8052">
            <v>1940.26</v>
          </cell>
        </row>
        <row r="8053">
          <cell r="B8053">
            <v>41615</v>
          </cell>
          <cell r="C8053">
            <v>1936.33</v>
          </cell>
        </row>
        <row r="8054">
          <cell r="B8054">
            <v>41616</v>
          </cell>
          <cell r="C8054">
            <v>1936.33</v>
          </cell>
        </row>
        <row r="8055">
          <cell r="B8055">
            <v>41617</v>
          </cell>
          <cell r="C8055">
            <v>1936.33</v>
          </cell>
        </row>
        <row r="8056">
          <cell r="B8056">
            <v>41618</v>
          </cell>
          <cell r="C8056">
            <v>1932.71</v>
          </cell>
        </row>
        <row r="8057">
          <cell r="B8057">
            <v>41619</v>
          </cell>
          <cell r="C8057">
            <v>1933.52</v>
          </cell>
        </row>
        <row r="8058">
          <cell r="B8058">
            <v>41620</v>
          </cell>
          <cell r="C8058">
            <v>1935.61</v>
          </cell>
        </row>
        <row r="8059">
          <cell r="B8059">
            <v>41621</v>
          </cell>
          <cell r="C8059">
            <v>1935.89</v>
          </cell>
        </row>
        <row r="8060">
          <cell r="B8060">
            <v>41622</v>
          </cell>
          <cell r="C8060">
            <v>1930.87</v>
          </cell>
        </row>
        <row r="8061">
          <cell r="B8061">
            <v>41623</v>
          </cell>
          <cell r="C8061">
            <v>1930.87</v>
          </cell>
        </row>
        <row r="8062">
          <cell r="B8062">
            <v>41624</v>
          </cell>
          <cell r="C8062">
            <v>1930.87</v>
          </cell>
        </row>
        <row r="8063">
          <cell r="B8063">
            <v>41625</v>
          </cell>
          <cell r="C8063">
            <v>1934.95</v>
          </cell>
        </row>
        <row r="8064">
          <cell r="B8064">
            <v>41626</v>
          </cell>
          <cell r="C8064">
            <v>1936.14</v>
          </cell>
        </row>
        <row r="8065">
          <cell r="B8065">
            <v>41627</v>
          </cell>
          <cell r="C8065">
            <v>1945.6</v>
          </cell>
        </row>
        <row r="8066">
          <cell r="B8066">
            <v>41628</v>
          </cell>
          <cell r="C8066">
            <v>1943.46</v>
          </cell>
        </row>
        <row r="8067">
          <cell r="B8067">
            <v>41629</v>
          </cell>
          <cell r="C8067">
            <v>1935.93</v>
          </cell>
        </row>
        <row r="8068">
          <cell r="B8068">
            <v>41630</v>
          </cell>
          <cell r="C8068">
            <v>1935.93</v>
          </cell>
        </row>
        <row r="8069">
          <cell r="B8069">
            <v>41631</v>
          </cell>
          <cell r="C8069">
            <v>1935.93</v>
          </cell>
        </row>
        <row r="8070">
          <cell r="B8070">
            <v>41632</v>
          </cell>
          <cell r="C8070">
            <v>1925.45</v>
          </cell>
        </row>
        <row r="8071">
          <cell r="B8071">
            <v>41633</v>
          </cell>
          <cell r="C8071">
            <v>1922.76</v>
          </cell>
        </row>
        <row r="8072">
          <cell r="B8072">
            <v>41634</v>
          </cell>
          <cell r="C8072">
            <v>1922.76</v>
          </cell>
        </row>
        <row r="8073">
          <cell r="B8073">
            <v>41635</v>
          </cell>
          <cell r="C8073">
            <v>1921.22</v>
          </cell>
        </row>
        <row r="8074">
          <cell r="B8074">
            <v>41636</v>
          </cell>
          <cell r="C8074">
            <v>1922.56</v>
          </cell>
        </row>
        <row r="8075">
          <cell r="B8075">
            <v>41637</v>
          </cell>
          <cell r="C8075">
            <v>1922.56</v>
          </cell>
        </row>
        <row r="8076">
          <cell r="B8076">
            <v>41638</v>
          </cell>
          <cell r="C8076">
            <v>1922.56</v>
          </cell>
        </row>
        <row r="8077">
          <cell r="B8077">
            <v>41639</v>
          </cell>
          <cell r="C8077">
            <v>1926.83</v>
          </cell>
        </row>
        <row r="8078">
          <cell r="B8078">
            <v>41640</v>
          </cell>
          <cell r="C8078">
            <v>1926.83</v>
          </cell>
        </row>
        <row r="8079">
          <cell r="B8079">
            <v>41641</v>
          </cell>
          <cell r="C8079">
            <v>1926.83</v>
          </cell>
        </row>
        <row r="8080">
          <cell r="B8080">
            <v>41642</v>
          </cell>
          <cell r="C8080">
            <v>1938.89</v>
          </cell>
        </row>
        <row r="8081">
          <cell r="B8081">
            <v>41643</v>
          </cell>
          <cell r="C8081">
            <v>1936.92</v>
          </cell>
        </row>
        <row r="8082">
          <cell r="B8082">
            <v>41644</v>
          </cell>
          <cell r="C8082">
            <v>1936.92</v>
          </cell>
        </row>
        <row r="8083">
          <cell r="B8083">
            <v>41645</v>
          </cell>
          <cell r="C8083">
            <v>1936.92</v>
          </cell>
        </row>
        <row r="8084">
          <cell r="B8084">
            <v>41646</v>
          </cell>
          <cell r="C8084">
            <v>1936.92</v>
          </cell>
        </row>
        <row r="8085">
          <cell r="B8085">
            <v>41647</v>
          </cell>
          <cell r="C8085">
            <v>1930.45</v>
          </cell>
        </row>
        <row r="8086">
          <cell r="B8086">
            <v>41648</v>
          </cell>
          <cell r="C8086">
            <v>1933.24</v>
          </cell>
        </row>
        <row r="8087">
          <cell r="B8087">
            <v>41649</v>
          </cell>
          <cell r="C8087">
            <v>1934.88</v>
          </cell>
        </row>
        <row r="8088">
          <cell r="B8088">
            <v>41650</v>
          </cell>
          <cell r="C8088">
            <v>1926.55</v>
          </cell>
        </row>
        <row r="8089">
          <cell r="B8089">
            <v>41651</v>
          </cell>
          <cell r="C8089">
            <v>1926.55</v>
          </cell>
        </row>
        <row r="8090">
          <cell r="B8090">
            <v>41652</v>
          </cell>
          <cell r="C8090">
            <v>1926.55</v>
          </cell>
        </row>
        <row r="8091">
          <cell r="B8091">
            <v>41653</v>
          </cell>
          <cell r="C8091">
            <v>1924.79</v>
          </cell>
        </row>
        <row r="8092">
          <cell r="B8092">
            <v>41654</v>
          </cell>
          <cell r="C8092">
            <v>1932.59</v>
          </cell>
        </row>
        <row r="8093">
          <cell r="B8093">
            <v>41655</v>
          </cell>
          <cell r="C8093">
            <v>1941.45</v>
          </cell>
        </row>
        <row r="8094">
          <cell r="B8094">
            <v>41656</v>
          </cell>
          <cell r="C8094">
            <v>1947.15</v>
          </cell>
        </row>
        <row r="8095">
          <cell r="B8095">
            <v>41657</v>
          </cell>
          <cell r="C8095">
            <v>1957.86</v>
          </cell>
        </row>
        <row r="8096">
          <cell r="B8096">
            <v>41658</v>
          </cell>
          <cell r="C8096">
            <v>1957.86</v>
          </cell>
        </row>
        <row r="8097">
          <cell r="B8097">
            <v>41659</v>
          </cell>
          <cell r="C8097">
            <v>1957.86</v>
          </cell>
        </row>
        <row r="8098">
          <cell r="B8098">
            <v>41660</v>
          </cell>
          <cell r="C8098">
            <v>1957.86</v>
          </cell>
        </row>
        <row r="8099">
          <cell r="B8099">
            <v>41661</v>
          </cell>
          <cell r="C8099" t="str">
            <v>$1,981,98</v>
          </cell>
        </row>
        <row r="8100">
          <cell r="B8100">
            <v>41662</v>
          </cell>
          <cell r="C8100" t="str">
            <v>$1,983,48</v>
          </cell>
        </row>
        <row r="8101">
          <cell r="B8101">
            <v>41663</v>
          </cell>
          <cell r="C8101" t="str">
            <v>$1,993,23</v>
          </cell>
        </row>
        <row r="8102">
          <cell r="B8102">
            <v>41664</v>
          </cell>
          <cell r="C8102" t="str">
            <v>$2,000,48</v>
          </cell>
        </row>
        <row r="8103">
          <cell r="B8103">
            <v>41665</v>
          </cell>
          <cell r="C8103" t="str">
            <v>$2,000,48</v>
          </cell>
        </row>
        <row r="8104">
          <cell r="B8104">
            <v>41666</v>
          </cell>
          <cell r="C8104" t="str">
            <v>$2,000,48</v>
          </cell>
        </row>
        <row r="8105">
          <cell r="B8105">
            <v>41667</v>
          </cell>
          <cell r="C8105" t="str">
            <v>$1,997,91</v>
          </cell>
        </row>
        <row r="8106">
          <cell r="B8106">
            <v>41668</v>
          </cell>
          <cell r="C8106" t="str">
            <v>$2,000,56</v>
          </cell>
        </row>
        <row r="8107">
          <cell r="B8107">
            <v>41669</v>
          </cell>
          <cell r="C8107" t="str">
            <v>$2,013,17</v>
          </cell>
        </row>
        <row r="8108">
          <cell r="B8108">
            <v>41670</v>
          </cell>
          <cell r="C8108" t="str">
            <v>$2,008,26</v>
          </cell>
        </row>
        <row r="8109">
          <cell r="B8109">
            <v>41671</v>
          </cell>
          <cell r="C8109" t="str">
            <v>$2,021,10</v>
          </cell>
        </row>
        <row r="8110">
          <cell r="B8110">
            <v>41672</v>
          </cell>
          <cell r="C8110" t="str">
            <v>$2,021,10</v>
          </cell>
        </row>
        <row r="8111">
          <cell r="B8111">
            <v>41673</v>
          </cell>
          <cell r="C8111" t="str">
            <v>$2,021,10</v>
          </cell>
        </row>
        <row r="8112">
          <cell r="B8112">
            <v>41674</v>
          </cell>
          <cell r="C8112" t="str">
            <v>$2,039,85</v>
          </cell>
        </row>
        <row r="8113">
          <cell r="B8113">
            <v>41675</v>
          </cell>
          <cell r="C8113" t="str">
            <v>$2,041,34</v>
          </cell>
        </row>
        <row r="8114">
          <cell r="B8114">
            <v>41676</v>
          </cell>
          <cell r="C8114" t="str">
            <v>$2,048,75</v>
          </cell>
        </row>
        <row r="8115">
          <cell r="B8115">
            <v>41677</v>
          </cell>
          <cell r="C8115" t="str">
            <v>$2,049,52</v>
          </cell>
        </row>
        <row r="8116">
          <cell r="B8116">
            <v>41678</v>
          </cell>
          <cell r="C8116" t="str">
            <v>$2,046,06</v>
          </cell>
        </row>
        <row r="8117">
          <cell r="B8117">
            <v>41679</v>
          </cell>
          <cell r="C8117" t="str">
            <v>$2,046,06</v>
          </cell>
        </row>
        <row r="8118">
          <cell r="B8118">
            <v>41680</v>
          </cell>
          <cell r="C8118" t="str">
            <v>$2,046,06</v>
          </cell>
        </row>
        <row r="8119">
          <cell r="B8119">
            <v>41681</v>
          </cell>
          <cell r="C8119" t="str">
            <v>$2,048,55</v>
          </cell>
        </row>
        <row r="8120">
          <cell r="B8120">
            <v>41682</v>
          </cell>
          <cell r="C8120" t="str">
            <v>$2,041,61</v>
          </cell>
        </row>
        <row r="8121">
          <cell r="B8121">
            <v>41683</v>
          </cell>
          <cell r="C8121" t="str">
            <v>$2,031,75</v>
          </cell>
        </row>
        <row r="8122">
          <cell r="B8122">
            <v>41684</v>
          </cell>
          <cell r="C8122" t="str">
            <v>$2,032,99</v>
          </cell>
        </row>
        <row r="8123">
          <cell r="B8123">
            <v>41685</v>
          </cell>
          <cell r="C8123" t="str">
            <v>$2,022,68</v>
          </cell>
        </row>
        <row r="8124">
          <cell r="B8124">
            <v>41686</v>
          </cell>
          <cell r="C8124" t="str">
            <v>$2,022,68</v>
          </cell>
        </row>
        <row r="8125">
          <cell r="B8125">
            <v>41687</v>
          </cell>
          <cell r="C8125" t="str">
            <v>$2,022,68</v>
          </cell>
        </row>
        <row r="8126">
          <cell r="B8126">
            <v>41688</v>
          </cell>
          <cell r="C8126" t="str">
            <v>$2,022,68</v>
          </cell>
        </row>
        <row r="8127">
          <cell r="B8127">
            <v>41689</v>
          </cell>
          <cell r="C8127" t="str">
            <v>$2,028,54</v>
          </cell>
        </row>
        <row r="8128">
          <cell r="B8128">
            <v>41690</v>
          </cell>
          <cell r="C8128" t="str">
            <v>$2,042,22</v>
          </cell>
        </row>
        <row r="8129">
          <cell r="B8129">
            <v>41691</v>
          </cell>
          <cell r="C8129" t="str">
            <v>$2,052,46</v>
          </cell>
        </row>
        <row r="8130">
          <cell r="B8130">
            <v>41692</v>
          </cell>
          <cell r="C8130" t="str">
            <v>$2,043,96</v>
          </cell>
        </row>
        <row r="8131">
          <cell r="B8131">
            <v>41693</v>
          </cell>
          <cell r="C8131" t="str">
            <v>$2,043,96</v>
          </cell>
        </row>
        <row r="8132">
          <cell r="B8132">
            <v>41694</v>
          </cell>
          <cell r="C8132" t="str">
            <v>$2,043,96</v>
          </cell>
        </row>
        <row r="8133">
          <cell r="B8133">
            <v>41695</v>
          </cell>
          <cell r="C8133" t="str">
            <v>$2,042,67</v>
          </cell>
        </row>
        <row r="8134">
          <cell r="B8134">
            <v>41696</v>
          </cell>
          <cell r="C8134" t="str">
            <v>$2,045,45</v>
          </cell>
        </row>
        <row r="8135">
          <cell r="B8135">
            <v>41697</v>
          </cell>
          <cell r="C8135" t="str">
            <v>$2,053,11</v>
          </cell>
        </row>
        <row r="8136">
          <cell r="B8136">
            <v>41698</v>
          </cell>
          <cell r="C8136" t="str">
            <v>$2,054,90</v>
          </cell>
        </row>
        <row r="8137">
          <cell r="B8137">
            <v>41699</v>
          </cell>
          <cell r="C8137" t="str">
            <v>$2,046,75</v>
          </cell>
        </row>
        <row r="8138">
          <cell r="B8138">
            <v>41700</v>
          </cell>
          <cell r="C8138" t="str">
            <v>$2,046,75</v>
          </cell>
        </row>
        <row r="8139">
          <cell r="B8139">
            <v>41701</v>
          </cell>
          <cell r="C8139" t="str">
            <v>$2,046,75</v>
          </cell>
        </row>
        <row r="8140">
          <cell r="B8140">
            <v>41702</v>
          </cell>
          <cell r="C8140" t="str">
            <v>$2,052,51</v>
          </cell>
        </row>
        <row r="8141">
          <cell r="B8141">
            <v>41703</v>
          </cell>
          <cell r="C8141" t="str">
            <v>$2,047,75</v>
          </cell>
        </row>
        <row r="8142">
          <cell r="B8142">
            <v>41704</v>
          </cell>
          <cell r="C8142" t="str">
            <v>$2,045,14</v>
          </cell>
        </row>
        <row r="8143">
          <cell r="B8143">
            <v>41705</v>
          </cell>
          <cell r="C8143" t="str">
            <v>$2,030,02</v>
          </cell>
        </row>
        <row r="8144">
          <cell r="B8144">
            <v>41706</v>
          </cell>
          <cell r="C8144" t="str">
            <v>$2,036,20</v>
          </cell>
        </row>
        <row r="8145">
          <cell r="B8145">
            <v>41707</v>
          </cell>
          <cell r="C8145" t="str">
            <v>$2,036,20</v>
          </cell>
        </row>
        <row r="8146">
          <cell r="B8146">
            <v>41708</v>
          </cell>
          <cell r="C8146" t="str">
            <v>$2,036,20</v>
          </cell>
        </row>
        <row r="8147">
          <cell r="B8147">
            <v>41709</v>
          </cell>
          <cell r="C8147" t="str">
            <v>$2,042,78</v>
          </cell>
        </row>
        <row r="8148">
          <cell r="B8148">
            <v>41710</v>
          </cell>
          <cell r="C8148" t="str">
            <v>$2,043,59</v>
          </cell>
        </row>
        <row r="8149">
          <cell r="B8149">
            <v>41711</v>
          </cell>
          <cell r="C8149" t="str">
            <v>$2,047,59</v>
          </cell>
        </row>
        <row r="8150">
          <cell r="B8150">
            <v>41712</v>
          </cell>
          <cell r="C8150" t="str">
            <v>$2,044,48</v>
          </cell>
        </row>
        <row r="8151">
          <cell r="B8151">
            <v>41713</v>
          </cell>
          <cell r="C8151" t="str">
            <v>$2,044,58</v>
          </cell>
        </row>
        <row r="8152">
          <cell r="B8152">
            <v>41714</v>
          </cell>
          <cell r="C8152" t="str">
            <v>$2,044,58</v>
          </cell>
        </row>
        <row r="8153">
          <cell r="B8153">
            <v>41715</v>
          </cell>
          <cell r="C8153" t="str">
            <v>$2,044,58</v>
          </cell>
        </row>
        <row r="8154">
          <cell r="B8154">
            <v>41716</v>
          </cell>
          <cell r="C8154" t="str">
            <v>$2,035,16</v>
          </cell>
        </row>
        <row r="8155">
          <cell r="B8155">
            <v>41717</v>
          </cell>
          <cell r="C8155" t="str">
            <v>$2,034,86</v>
          </cell>
        </row>
        <row r="8156">
          <cell r="B8156">
            <v>41718</v>
          </cell>
          <cell r="C8156" t="str">
            <v>$2,017,38</v>
          </cell>
        </row>
        <row r="8157">
          <cell r="B8157">
            <v>41719</v>
          </cell>
          <cell r="C8157" t="str">
            <v>$1,998,60</v>
          </cell>
        </row>
        <row r="8158">
          <cell r="B8158">
            <v>41720</v>
          </cell>
          <cell r="C8158" t="str">
            <v>$1,993,85</v>
          </cell>
        </row>
        <row r="8159">
          <cell r="B8159">
            <v>41721</v>
          </cell>
          <cell r="C8159" t="str">
            <v>$1,993,85</v>
          </cell>
        </row>
        <row r="8160">
          <cell r="B8160">
            <v>41722</v>
          </cell>
          <cell r="C8160" t="str">
            <v>$1,993,85</v>
          </cell>
        </row>
        <row r="8161">
          <cell r="B8161">
            <v>41723</v>
          </cell>
          <cell r="C8161" t="str">
            <v>$1,993,85</v>
          </cell>
        </row>
        <row r="8162">
          <cell r="B8162">
            <v>41724</v>
          </cell>
          <cell r="C8162" t="str">
            <v>$1,978,63</v>
          </cell>
        </row>
        <row r="8163">
          <cell r="B8163">
            <v>41725</v>
          </cell>
          <cell r="C8163" t="str">
            <v>$1,973,03</v>
          </cell>
        </row>
        <row r="8164">
          <cell r="B8164">
            <v>41726</v>
          </cell>
          <cell r="C8164" t="str">
            <v>$1,965,64</v>
          </cell>
        </row>
        <row r="8165">
          <cell r="B8165">
            <v>41727</v>
          </cell>
          <cell r="C8165" t="str">
            <v>$1,965,32</v>
          </cell>
        </row>
        <row r="8166">
          <cell r="B8166">
            <v>41728</v>
          </cell>
          <cell r="C8166" t="str">
            <v>$1,965,32</v>
          </cell>
        </row>
        <row r="8167">
          <cell r="B8167">
            <v>41729</v>
          </cell>
          <cell r="C8167" t="str">
            <v>$1,965,32</v>
          </cell>
        </row>
        <row r="8168">
          <cell r="B8168">
            <v>41730</v>
          </cell>
          <cell r="C8168" t="str">
            <v>$1,969,45</v>
          </cell>
        </row>
        <row r="8169">
          <cell r="B8169">
            <v>41731</v>
          </cell>
          <cell r="C8169" t="str">
            <v>$1,966,02</v>
          </cell>
        </row>
        <row r="8170">
          <cell r="B8170">
            <v>41732</v>
          </cell>
          <cell r="C8170" t="str">
            <v>$1,963,51</v>
          </cell>
        </row>
        <row r="8171">
          <cell r="B8171">
            <v>41733</v>
          </cell>
          <cell r="C8171" t="str">
            <v>$1,966,40</v>
          </cell>
        </row>
        <row r="8172">
          <cell r="B8172">
            <v>41734</v>
          </cell>
          <cell r="C8172" t="str">
            <v>$1,951,85</v>
          </cell>
        </row>
        <row r="8173">
          <cell r="B8173">
            <v>41735</v>
          </cell>
          <cell r="C8173" t="str">
            <v>$1,951,85</v>
          </cell>
        </row>
        <row r="8174">
          <cell r="B8174">
            <v>41736</v>
          </cell>
          <cell r="C8174" t="str">
            <v>$1,951,85</v>
          </cell>
        </row>
        <row r="8175">
          <cell r="B8175">
            <v>41737</v>
          </cell>
          <cell r="C8175" t="str">
            <v>$1,937,59</v>
          </cell>
        </row>
        <row r="8176">
          <cell r="B8176">
            <v>41738</v>
          </cell>
          <cell r="C8176" t="str">
            <v>$1,923,95</v>
          </cell>
        </row>
        <row r="8177">
          <cell r="B8177">
            <v>41739</v>
          </cell>
          <cell r="C8177" t="str">
            <v>$1,931,09</v>
          </cell>
        </row>
        <row r="8178">
          <cell r="B8178">
            <v>41740</v>
          </cell>
          <cell r="C8178" t="str">
            <v>$1,920,93</v>
          </cell>
        </row>
        <row r="8179">
          <cell r="B8179">
            <v>41741</v>
          </cell>
          <cell r="C8179" t="str">
            <v>$1,927,28</v>
          </cell>
        </row>
        <row r="8180">
          <cell r="B8180">
            <v>41742</v>
          </cell>
          <cell r="C8180" t="str">
            <v>$1,927,28</v>
          </cell>
        </row>
        <row r="8181">
          <cell r="B8181">
            <v>41743</v>
          </cell>
          <cell r="C8181" t="str">
            <v>$1,927,28</v>
          </cell>
        </row>
        <row r="8182">
          <cell r="B8182">
            <v>41744</v>
          </cell>
          <cell r="C8182" t="str">
            <v>$1,926,47</v>
          </cell>
        </row>
        <row r="8183">
          <cell r="B8183">
            <v>41745</v>
          </cell>
          <cell r="C8183" t="str">
            <v>$1,932,42</v>
          </cell>
        </row>
        <row r="8184">
          <cell r="B8184">
            <v>41746</v>
          </cell>
          <cell r="C8184" t="str">
            <v>$1,930,62</v>
          </cell>
        </row>
        <row r="8185">
          <cell r="B8185">
            <v>41747</v>
          </cell>
          <cell r="C8185" t="str">
            <v>$1,930,62</v>
          </cell>
        </row>
        <row r="8186">
          <cell r="B8186">
            <v>41748</v>
          </cell>
          <cell r="C8186" t="str">
            <v>$1,930,62</v>
          </cell>
        </row>
        <row r="8187">
          <cell r="B8187">
            <v>41749</v>
          </cell>
          <cell r="C8187" t="str">
            <v>$1,930,62</v>
          </cell>
        </row>
        <row r="8188">
          <cell r="B8188">
            <v>41750</v>
          </cell>
          <cell r="C8188" t="str">
            <v>$1,930,62</v>
          </cell>
        </row>
        <row r="8189">
          <cell r="B8189">
            <v>41751</v>
          </cell>
          <cell r="C8189" t="str">
            <v>$1,921,75</v>
          </cell>
        </row>
        <row r="8190">
          <cell r="B8190">
            <v>41752</v>
          </cell>
          <cell r="C8190" t="str">
            <v>$1,929,66</v>
          </cell>
        </row>
        <row r="8191">
          <cell r="B8191">
            <v>41753</v>
          </cell>
          <cell r="C8191" t="str">
            <v>$1,936,63</v>
          </cell>
        </row>
        <row r="8192">
          <cell r="B8192">
            <v>41754</v>
          </cell>
          <cell r="C8192" t="str">
            <v>$1,936,07</v>
          </cell>
        </row>
        <row r="8193">
          <cell r="B8193">
            <v>41755</v>
          </cell>
          <cell r="C8193" t="str">
            <v>$1,942,37</v>
          </cell>
        </row>
        <row r="8194">
          <cell r="B8194">
            <v>41756</v>
          </cell>
          <cell r="C8194" t="str">
            <v>$1,942,37</v>
          </cell>
        </row>
        <row r="8195">
          <cell r="B8195">
            <v>41757</v>
          </cell>
          <cell r="C8195" t="str">
            <v>$1,942,37</v>
          </cell>
        </row>
        <row r="8196">
          <cell r="B8196">
            <v>41758</v>
          </cell>
          <cell r="C8196" t="str">
            <v>$1,936,13</v>
          </cell>
        </row>
        <row r="8197">
          <cell r="B8197">
            <v>41759</v>
          </cell>
          <cell r="C8197" t="str">
            <v>$1,935,14</v>
          </cell>
        </row>
        <row r="8198">
          <cell r="B8198">
            <v>41760</v>
          </cell>
          <cell r="C8198" t="str">
            <v>$1,933,46</v>
          </cell>
        </row>
        <row r="8199">
          <cell r="B8199">
            <v>41761</v>
          </cell>
          <cell r="C8199" t="str">
            <v>$1,933,46</v>
          </cell>
        </row>
        <row r="8200">
          <cell r="B8200">
            <v>41762</v>
          </cell>
          <cell r="C8200" t="str">
            <v>$1,926,30</v>
          </cell>
        </row>
        <row r="8201">
          <cell r="B8201">
            <v>41763</v>
          </cell>
          <cell r="C8201" t="str">
            <v>$1,926,30</v>
          </cell>
        </row>
        <row r="8202">
          <cell r="B8202">
            <v>41764</v>
          </cell>
          <cell r="C8202" t="str">
            <v>$1,926,30</v>
          </cell>
        </row>
        <row r="8203">
          <cell r="B8203">
            <v>41765</v>
          </cell>
          <cell r="C8203" t="str">
            <v>$1,923,07</v>
          </cell>
        </row>
        <row r="8204">
          <cell r="B8204">
            <v>41766</v>
          </cell>
          <cell r="C8204" t="str">
            <v>$1,918,20</v>
          </cell>
        </row>
        <row r="8205">
          <cell r="B8205">
            <v>41767</v>
          </cell>
          <cell r="C8205" t="str">
            <v>$1,912,97</v>
          </cell>
        </row>
        <row r="8206">
          <cell r="B8206">
            <v>41768</v>
          </cell>
          <cell r="C8206" t="str">
            <v>$1,902,15</v>
          </cell>
        </row>
        <row r="8207">
          <cell r="B8207">
            <v>41769</v>
          </cell>
          <cell r="C8207" t="str">
            <v>$1,901,51</v>
          </cell>
        </row>
        <row r="8208">
          <cell r="B8208">
            <v>41770</v>
          </cell>
          <cell r="C8208" t="str">
            <v>$1,901,51</v>
          </cell>
        </row>
        <row r="8209">
          <cell r="B8209">
            <v>41771</v>
          </cell>
          <cell r="C8209" t="str">
            <v>$1,901,51</v>
          </cell>
        </row>
        <row r="8210">
          <cell r="B8210">
            <v>41772</v>
          </cell>
          <cell r="C8210" t="str">
            <v>$1,904,85</v>
          </cell>
        </row>
        <row r="8211">
          <cell r="B8211">
            <v>41773</v>
          </cell>
          <cell r="C8211" t="str">
            <v>$1,919,70</v>
          </cell>
        </row>
        <row r="8212">
          <cell r="B8212">
            <v>41774</v>
          </cell>
          <cell r="C8212" t="str">
            <v>$1,925,31</v>
          </cell>
        </row>
        <row r="8213">
          <cell r="B8213">
            <v>41775</v>
          </cell>
          <cell r="C8213">
            <v>1927.8</v>
          </cell>
        </row>
        <row r="8214">
          <cell r="B8214">
            <v>41776</v>
          </cell>
          <cell r="C8214">
            <v>1925.41</v>
          </cell>
        </row>
        <row r="8215">
          <cell r="B8215">
            <v>41777</v>
          </cell>
          <cell r="C8215">
            <v>1925.41</v>
          </cell>
        </row>
        <row r="8216">
          <cell r="B8216">
            <v>41778</v>
          </cell>
          <cell r="C8216">
            <v>1925.41</v>
          </cell>
        </row>
        <row r="8217">
          <cell r="B8217">
            <v>41779</v>
          </cell>
          <cell r="C8217">
            <v>1921.16</v>
          </cell>
        </row>
        <row r="8218">
          <cell r="B8218">
            <v>41780</v>
          </cell>
          <cell r="C8218">
            <v>1920.41</v>
          </cell>
        </row>
        <row r="8219">
          <cell r="B8219">
            <v>41781</v>
          </cell>
          <cell r="C8219">
            <v>1911.33</v>
          </cell>
        </row>
        <row r="8220">
          <cell r="B8220">
            <v>41782</v>
          </cell>
          <cell r="C8220">
            <v>1905.8</v>
          </cell>
        </row>
        <row r="8221">
          <cell r="B8221">
            <v>41783</v>
          </cell>
          <cell r="C8221">
            <v>1905.53</v>
          </cell>
        </row>
        <row r="8222">
          <cell r="B8222">
            <v>41784</v>
          </cell>
          <cell r="C8222">
            <v>1905.53</v>
          </cell>
        </row>
        <row r="8223">
          <cell r="B8223">
            <v>41785</v>
          </cell>
          <cell r="C8223">
            <v>1905.53</v>
          </cell>
        </row>
        <row r="8224">
          <cell r="B8224">
            <v>41786</v>
          </cell>
          <cell r="C8224">
            <v>1905.53</v>
          </cell>
        </row>
        <row r="8225">
          <cell r="B8225">
            <v>41787</v>
          </cell>
          <cell r="C8225">
            <v>1917.34</v>
          </cell>
        </row>
        <row r="8226">
          <cell r="B8226">
            <v>41788</v>
          </cell>
          <cell r="C8226">
            <v>1910.8</v>
          </cell>
        </row>
        <row r="8227">
          <cell r="B8227">
            <v>41789</v>
          </cell>
          <cell r="C8227">
            <v>1905.96</v>
          </cell>
        </row>
        <row r="8228">
          <cell r="B8228">
            <v>41790</v>
          </cell>
          <cell r="C8228">
            <v>1900.64</v>
          </cell>
        </row>
        <row r="8229">
          <cell r="B8229">
            <v>41791</v>
          </cell>
          <cell r="C8229">
            <v>1900.64</v>
          </cell>
        </row>
        <row r="8230">
          <cell r="B8230">
            <v>41792</v>
          </cell>
          <cell r="C8230">
            <v>1900.64</v>
          </cell>
        </row>
        <row r="8231">
          <cell r="B8231">
            <v>41793</v>
          </cell>
          <cell r="C8231">
            <v>1900.64</v>
          </cell>
        </row>
        <row r="8232">
          <cell r="B8232">
            <v>41794</v>
          </cell>
          <cell r="C8232">
            <v>1899.74</v>
          </cell>
        </row>
        <row r="8233">
          <cell r="B8233">
            <v>41795</v>
          </cell>
          <cell r="C8233">
            <v>1897.7</v>
          </cell>
        </row>
        <row r="8234">
          <cell r="B8234">
            <v>41796</v>
          </cell>
          <cell r="C8234">
            <v>1892.08</v>
          </cell>
        </row>
        <row r="8235">
          <cell r="B8235">
            <v>41797</v>
          </cell>
          <cell r="C8235">
            <v>1886.09</v>
          </cell>
        </row>
        <row r="8236">
          <cell r="B8236">
            <v>41798</v>
          </cell>
          <cell r="C8236">
            <v>1886.09</v>
          </cell>
        </row>
        <row r="8237">
          <cell r="B8237">
            <v>41799</v>
          </cell>
          <cell r="C8237">
            <v>1886.09</v>
          </cell>
        </row>
        <row r="8238">
          <cell r="B8238">
            <v>41800</v>
          </cell>
          <cell r="C8238">
            <v>1883.76</v>
          </cell>
        </row>
        <row r="8239">
          <cell r="B8239">
            <v>41801</v>
          </cell>
          <cell r="C8239">
            <v>1884.97</v>
          </cell>
        </row>
        <row r="8240">
          <cell r="B8240">
            <v>41802</v>
          </cell>
          <cell r="C8240">
            <v>1884.63</v>
          </cell>
        </row>
        <row r="8241">
          <cell r="B8241">
            <v>41803</v>
          </cell>
          <cell r="C8241">
            <v>1877.18</v>
          </cell>
        </row>
        <row r="8242">
          <cell r="B8242">
            <v>41804</v>
          </cell>
          <cell r="C8242">
            <v>1877.37</v>
          </cell>
        </row>
        <row r="8243">
          <cell r="B8243">
            <v>41805</v>
          </cell>
          <cell r="C8243">
            <v>1877.37</v>
          </cell>
        </row>
        <row r="8244">
          <cell r="B8244">
            <v>41806</v>
          </cell>
          <cell r="C8244">
            <v>1877.37</v>
          </cell>
        </row>
        <row r="8245">
          <cell r="B8245">
            <v>41807</v>
          </cell>
          <cell r="C8245">
            <v>1886.62</v>
          </cell>
        </row>
        <row r="8246">
          <cell r="B8246">
            <v>41808</v>
          </cell>
          <cell r="C8246">
            <v>1899.9</v>
          </cell>
        </row>
        <row r="8247">
          <cell r="B8247">
            <v>41809</v>
          </cell>
          <cell r="C8247">
            <v>1895.92</v>
          </cell>
        </row>
        <row r="8248">
          <cell r="B8248">
            <v>41810</v>
          </cell>
          <cell r="C8248">
            <v>1881.34</v>
          </cell>
        </row>
        <row r="8249">
          <cell r="B8249">
            <v>41811</v>
          </cell>
          <cell r="C8249">
            <v>1884.56</v>
          </cell>
        </row>
        <row r="8250">
          <cell r="B8250">
            <v>41812</v>
          </cell>
          <cell r="C8250">
            <v>1884.56</v>
          </cell>
        </row>
        <row r="8251">
          <cell r="B8251">
            <v>41813</v>
          </cell>
          <cell r="C8251">
            <v>1884.56</v>
          </cell>
        </row>
        <row r="8252">
          <cell r="B8252">
            <v>41814</v>
          </cell>
          <cell r="C8252">
            <v>1884.56</v>
          </cell>
        </row>
        <row r="8253">
          <cell r="B8253">
            <v>41815</v>
          </cell>
          <cell r="C8253">
            <v>1886.85</v>
          </cell>
        </row>
        <row r="8254">
          <cell r="B8254">
            <v>41816</v>
          </cell>
          <cell r="C8254">
            <v>1880.37</v>
          </cell>
        </row>
        <row r="8255">
          <cell r="B8255">
            <v>41817</v>
          </cell>
          <cell r="C8255">
            <v>1886.01</v>
          </cell>
        </row>
        <row r="8256">
          <cell r="B8256">
            <v>41818</v>
          </cell>
          <cell r="C8256">
            <v>1881.19</v>
          </cell>
        </row>
        <row r="8257">
          <cell r="B8257">
            <v>41819</v>
          </cell>
          <cell r="C8257">
            <v>1881.19</v>
          </cell>
        </row>
        <row r="8258">
          <cell r="B8258">
            <v>41820</v>
          </cell>
          <cell r="C8258">
            <v>1881.19</v>
          </cell>
        </row>
        <row r="8259">
          <cell r="B8259">
            <v>41821</v>
          </cell>
          <cell r="C8259">
            <v>1881.19</v>
          </cell>
        </row>
        <row r="8260">
          <cell r="B8260">
            <v>41822</v>
          </cell>
          <cell r="C8260">
            <v>1865.42</v>
          </cell>
        </row>
        <row r="8261">
          <cell r="B8261">
            <v>41823</v>
          </cell>
          <cell r="C8261">
            <v>1856.73</v>
          </cell>
        </row>
        <row r="8262">
          <cell r="B8262">
            <v>41824</v>
          </cell>
          <cell r="C8262">
            <v>1848.91</v>
          </cell>
        </row>
        <row r="8263">
          <cell r="B8263">
            <v>41825</v>
          </cell>
          <cell r="C8263">
            <v>1848.91</v>
          </cell>
        </row>
        <row r="8264">
          <cell r="B8264">
            <v>41826</v>
          </cell>
          <cell r="C8264">
            <v>1848.91</v>
          </cell>
        </row>
        <row r="8265">
          <cell r="B8265">
            <v>41827</v>
          </cell>
          <cell r="C8265">
            <v>1848.91</v>
          </cell>
        </row>
        <row r="8266">
          <cell r="B8266">
            <v>41828</v>
          </cell>
          <cell r="C8266">
            <v>1849.28</v>
          </cell>
        </row>
        <row r="8267">
          <cell r="B8267">
            <v>41829</v>
          </cell>
          <cell r="C8267">
            <v>1854.24</v>
          </cell>
        </row>
        <row r="8268">
          <cell r="B8268">
            <v>41830</v>
          </cell>
          <cell r="C8268">
            <v>1859.94</v>
          </cell>
        </row>
        <row r="8269">
          <cell r="B8269">
            <v>41831</v>
          </cell>
          <cell r="C8269">
            <v>1858.47</v>
          </cell>
        </row>
        <row r="8270">
          <cell r="B8270">
            <v>41832</v>
          </cell>
          <cell r="C8270">
            <v>1852.57</v>
          </cell>
        </row>
        <row r="8271">
          <cell r="B8271">
            <v>41833</v>
          </cell>
          <cell r="C8271">
            <v>1852.57</v>
          </cell>
        </row>
        <row r="8272">
          <cell r="B8272">
            <v>41834</v>
          </cell>
          <cell r="C8272">
            <v>1852.57</v>
          </cell>
        </row>
        <row r="8273">
          <cell r="B8273">
            <v>41835</v>
          </cell>
          <cell r="C8273">
            <v>1857.93</v>
          </cell>
        </row>
        <row r="8274">
          <cell r="B8274">
            <v>41836</v>
          </cell>
          <cell r="C8274">
            <v>1867.88</v>
          </cell>
        </row>
        <row r="8275">
          <cell r="B8275">
            <v>41837</v>
          </cell>
          <cell r="C8275">
            <v>1868.41</v>
          </cell>
        </row>
        <row r="8276">
          <cell r="B8276">
            <v>41838</v>
          </cell>
          <cell r="C8276">
            <v>1872.27</v>
          </cell>
        </row>
        <row r="8277">
          <cell r="B8277">
            <v>41839</v>
          </cell>
          <cell r="C8277">
            <v>1871.87</v>
          </cell>
        </row>
        <row r="8278">
          <cell r="B8278">
            <v>41840</v>
          </cell>
          <cell r="C8278">
            <v>1871.87</v>
          </cell>
        </row>
        <row r="8279">
          <cell r="B8279">
            <v>41841</v>
          </cell>
          <cell r="C8279">
            <v>1871.87</v>
          </cell>
        </row>
        <row r="8280">
          <cell r="B8280">
            <v>41842</v>
          </cell>
          <cell r="C8280">
            <v>1861.28</v>
          </cell>
        </row>
        <row r="8281">
          <cell r="B8281">
            <v>41843</v>
          </cell>
          <cell r="C8281">
            <v>1848.98</v>
          </cell>
        </row>
        <row r="8282">
          <cell r="B8282">
            <v>41844</v>
          </cell>
          <cell r="C8282">
            <v>1847.85</v>
          </cell>
        </row>
        <row r="8283">
          <cell r="B8283">
            <v>41845</v>
          </cell>
          <cell r="C8283">
            <v>1846.12</v>
          </cell>
        </row>
        <row r="8284">
          <cell r="B8284">
            <v>41846</v>
          </cell>
          <cell r="C8284">
            <v>1848.56</v>
          </cell>
        </row>
        <row r="8285">
          <cell r="B8285">
            <v>41847</v>
          </cell>
          <cell r="C8285">
            <v>1848.56</v>
          </cell>
        </row>
        <row r="8286">
          <cell r="B8286">
            <v>41848</v>
          </cell>
          <cell r="C8286">
            <v>1848.56</v>
          </cell>
        </row>
        <row r="8287">
          <cell r="B8287">
            <v>41849</v>
          </cell>
          <cell r="C8287">
            <v>1850.61</v>
          </cell>
        </row>
        <row r="8288">
          <cell r="B8288">
            <v>41850</v>
          </cell>
          <cell r="C8288">
            <v>1853.3</v>
          </cell>
        </row>
        <row r="8289">
          <cell r="B8289">
            <v>41851</v>
          </cell>
          <cell r="C8289">
            <v>1872.43</v>
          </cell>
        </row>
        <row r="8290">
          <cell r="B8290">
            <v>41852</v>
          </cell>
          <cell r="C8290">
            <v>1878.75</v>
          </cell>
        </row>
        <row r="8291">
          <cell r="B8291">
            <v>41853</v>
          </cell>
          <cell r="C8291">
            <v>1873.65</v>
          </cell>
        </row>
        <row r="8292">
          <cell r="B8292">
            <v>41854</v>
          </cell>
          <cell r="C8292">
            <v>1873.65</v>
          </cell>
        </row>
        <row r="8293">
          <cell r="B8293">
            <v>41855</v>
          </cell>
          <cell r="C8293">
            <v>1873.65</v>
          </cell>
        </row>
        <row r="8294">
          <cell r="B8294">
            <v>41856</v>
          </cell>
          <cell r="C8294">
            <v>1878.68</v>
          </cell>
        </row>
        <row r="8295">
          <cell r="B8295">
            <v>41857</v>
          </cell>
          <cell r="C8295">
            <v>1892.35</v>
          </cell>
        </row>
        <row r="8296">
          <cell r="B8296">
            <v>41858</v>
          </cell>
          <cell r="C8296">
            <v>1888.51</v>
          </cell>
        </row>
        <row r="8297">
          <cell r="B8297">
            <v>41859</v>
          </cell>
          <cell r="C8297">
            <v>1888.51</v>
          </cell>
        </row>
        <row r="8298">
          <cell r="B8298">
            <v>41860</v>
          </cell>
          <cell r="C8298">
            <v>1891.59</v>
          </cell>
        </row>
        <row r="8299">
          <cell r="B8299">
            <v>41861</v>
          </cell>
          <cell r="C8299">
            <v>1891.59</v>
          </cell>
        </row>
        <row r="8300">
          <cell r="B8300">
            <v>41862</v>
          </cell>
          <cell r="C8300">
            <v>1891.59</v>
          </cell>
        </row>
        <row r="8301">
          <cell r="B8301">
            <v>41863</v>
          </cell>
          <cell r="C8301">
            <v>1881.62</v>
          </cell>
        </row>
        <row r="8302">
          <cell r="B8302">
            <v>41864</v>
          </cell>
          <cell r="C8302">
            <v>1877.4</v>
          </cell>
        </row>
        <row r="8303">
          <cell r="B8303">
            <v>41865</v>
          </cell>
          <cell r="C8303">
            <v>1883.33</v>
          </cell>
        </row>
        <row r="8304">
          <cell r="B8304">
            <v>41866</v>
          </cell>
          <cell r="C8304">
            <v>1877.77</v>
          </cell>
        </row>
        <row r="8305">
          <cell r="B8305">
            <v>41867</v>
          </cell>
          <cell r="C8305">
            <v>1884.81</v>
          </cell>
        </row>
        <row r="8306">
          <cell r="B8306">
            <v>41868</v>
          </cell>
          <cell r="C8306">
            <v>1884.81</v>
          </cell>
        </row>
        <row r="8307">
          <cell r="B8307">
            <v>41869</v>
          </cell>
          <cell r="C8307">
            <v>1884.81</v>
          </cell>
        </row>
        <row r="8308">
          <cell r="B8308">
            <v>41870</v>
          </cell>
          <cell r="C8308">
            <v>1884.81</v>
          </cell>
        </row>
        <row r="8309">
          <cell r="B8309">
            <v>41871</v>
          </cell>
          <cell r="C8309">
            <v>1894.27</v>
          </cell>
        </row>
        <row r="8310">
          <cell r="B8310">
            <v>41872</v>
          </cell>
          <cell r="C8310">
            <v>1912.43</v>
          </cell>
        </row>
        <row r="8311">
          <cell r="B8311">
            <v>41873</v>
          </cell>
          <cell r="C8311">
            <v>1919.84</v>
          </cell>
        </row>
        <row r="8312">
          <cell r="B8312">
            <v>41874</v>
          </cell>
          <cell r="C8312">
            <v>1924.4</v>
          </cell>
        </row>
        <row r="8313">
          <cell r="B8313">
            <v>41875</v>
          </cell>
          <cell r="C8313">
            <v>1924.4</v>
          </cell>
        </row>
        <row r="8314">
          <cell r="B8314">
            <v>41876</v>
          </cell>
          <cell r="C8314">
            <v>1924.4</v>
          </cell>
        </row>
        <row r="8315">
          <cell r="B8315">
            <v>41877</v>
          </cell>
          <cell r="C8315">
            <v>1932.39</v>
          </cell>
        </row>
        <row r="8316">
          <cell r="B8316">
            <v>41878</v>
          </cell>
          <cell r="C8316">
            <v>1928.67</v>
          </cell>
        </row>
        <row r="8317">
          <cell r="B8317">
            <v>41879</v>
          </cell>
          <cell r="C8317">
            <v>1926.92</v>
          </cell>
        </row>
        <row r="8318">
          <cell r="B8318">
            <v>41880</v>
          </cell>
          <cell r="C8318">
            <v>1935.04</v>
          </cell>
        </row>
        <row r="8319">
          <cell r="B8319">
            <v>41881</v>
          </cell>
          <cell r="C8319">
            <v>1918.62</v>
          </cell>
        </row>
        <row r="8320">
          <cell r="B8320">
            <v>41882</v>
          </cell>
          <cell r="C8320">
            <v>1918.62</v>
          </cell>
        </row>
        <row r="8321">
          <cell r="B8321">
            <v>41883</v>
          </cell>
          <cell r="C8321">
            <v>1918.62</v>
          </cell>
        </row>
        <row r="8322">
          <cell r="B8322">
            <v>41884</v>
          </cell>
          <cell r="C8322">
            <v>1918.62</v>
          </cell>
        </row>
        <row r="8323">
          <cell r="B8323">
            <v>41885</v>
          </cell>
          <cell r="C8323">
            <v>1931.49</v>
          </cell>
        </row>
        <row r="8324">
          <cell r="B8324">
            <v>41886</v>
          </cell>
          <cell r="C8324">
            <v>1924.67</v>
          </cell>
        </row>
        <row r="8325">
          <cell r="B8325">
            <v>41887</v>
          </cell>
          <cell r="C8325">
            <v>1931.45</v>
          </cell>
        </row>
        <row r="8326">
          <cell r="B8326">
            <v>41888</v>
          </cell>
          <cell r="C8326">
            <v>1935.25</v>
          </cell>
        </row>
        <row r="8327">
          <cell r="B8327">
            <v>41889</v>
          </cell>
          <cell r="C8327">
            <v>1935.25</v>
          </cell>
        </row>
        <row r="8328">
          <cell r="B8328">
            <v>41890</v>
          </cell>
          <cell r="C8328">
            <v>1935.25</v>
          </cell>
        </row>
        <row r="8329">
          <cell r="B8329">
            <v>41891</v>
          </cell>
          <cell r="C8329">
            <v>1942.03</v>
          </cell>
        </row>
        <row r="8330">
          <cell r="B8330">
            <v>41892</v>
          </cell>
          <cell r="C8330">
            <v>1962.84</v>
          </cell>
        </row>
        <row r="8331">
          <cell r="B8331">
            <v>41893</v>
          </cell>
          <cell r="C8331">
            <v>1975.82</v>
          </cell>
        </row>
        <row r="8332">
          <cell r="B8332">
            <v>41894</v>
          </cell>
          <cell r="C8332">
            <v>1979.97</v>
          </cell>
        </row>
        <row r="8333">
          <cell r="B8333">
            <v>41895</v>
          </cell>
          <cell r="C8333">
            <v>1994.97</v>
          </cell>
        </row>
        <row r="8334">
          <cell r="B8334">
            <v>41896</v>
          </cell>
          <cell r="C8334">
            <v>1994.97</v>
          </cell>
        </row>
        <row r="8335">
          <cell r="B8335">
            <v>41897</v>
          </cell>
          <cell r="C8335">
            <v>1994.97</v>
          </cell>
        </row>
        <row r="8336">
          <cell r="B8336">
            <v>41898</v>
          </cell>
          <cell r="C8336">
            <v>1987.71</v>
          </cell>
        </row>
        <row r="8337">
          <cell r="B8337">
            <v>41899</v>
          </cell>
          <cell r="C8337">
            <v>1978.08</v>
          </cell>
        </row>
        <row r="8338">
          <cell r="B8338">
            <v>41900</v>
          </cell>
          <cell r="C8338">
            <v>1975.47</v>
          </cell>
        </row>
        <row r="8339">
          <cell r="B8339">
            <v>41901</v>
          </cell>
          <cell r="C8339">
            <v>1975.42</v>
          </cell>
        </row>
        <row r="8340">
          <cell r="B8340">
            <v>41902</v>
          </cell>
          <cell r="C8340">
            <v>1966.89</v>
          </cell>
        </row>
        <row r="8341">
          <cell r="B8341">
            <v>41903</v>
          </cell>
          <cell r="C8341">
            <v>1966.89</v>
          </cell>
        </row>
        <row r="8342">
          <cell r="B8342">
            <v>41904</v>
          </cell>
          <cell r="C8342">
            <v>1966.89</v>
          </cell>
        </row>
        <row r="8343">
          <cell r="B8343">
            <v>41905</v>
          </cell>
          <cell r="C8343">
            <v>1992.68</v>
          </cell>
        </row>
        <row r="8344">
          <cell r="B8344">
            <v>41906</v>
          </cell>
          <cell r="C8344">
            <v>1997.91</v>
          </cell>
        </row>
        <row r="8345">
          <cell r="B8345">
            <v>41907</v>
          </cell>
          <cell r="C8345">
            <v>2007.48</v>
          </cell>
        </row>
        <row r="8346">
          <cell r="B8346">
            <v>41908</v>
          </cell>
          <cell r="C8346">
            <v>2019.76</v>
          </cell>
        </row>
        <row r="8347">
          <cell r="B8347">
            <v>41909</v>
          </cell>
          <cell r="C8347">
            <v>2023.89</v>
          </cell>
        </row>
        <row r="8348">
          <cell r="B8348">
            <v>41910</v>
          </cell>
          <cell r="C8348">
            <v>2023.89</v>
          </cell>
        </row>
        <row r="8349">
          <cell r="B8349">
            <v>41911</v>
          </cell>
          <cell r="C8349">
            <v>2023.89</v>
          </cell>
        </row>
        <row r="8350">
          <cell r="B8350">
            <v>41912</v>
          </cell>
          <cell r="C8350">
            <v>2028.48</v>
          </cell>
        </row>
        <row r="8351">
          <cell r="B8351">
            <v>41913</v>
          </cell>
          <cell r="C8351">
            <v>2022</v>
          </cell>
        </row>
        <row r="8352">
          <cell r="B8352">
            <v>41914</v>
          </cell>
          <cell r="C8352">
            <v>2025.75</v>
          </cell>
        </row>
        <row r="8353">
          <cell r="B8353">
            <v>41915</v>
          </cell>
          <cell r="C8353">
            <v>2021.49</v>
          </cell>
        </row>
        <row r="8354">
          <cell r="B8354">
            <v>41916</v>
          </cell>
          <cell r="C8354">
            <v>2026.2</v>
          </cell>
        </row>
        <row r="8355">
          <cell r="B8355">
            <v>41917</v>
          </cell>
          <cell r="C8355">
            <v>2026.2</v>
          </cell>
        </row>
        <row r="8356">
          <cell r="B8356">
            <v>41918</v>
          </cell>
          <cell r="C8356">
            <v>2026.2</v>
          </cell>
        </row>
        <row r="8357">
          <cell r="B8357">
            <v>41919</v>
          </cell>
          <cell r="C8357" t="str">
            <v>$2,028,03</v>
          </cell>
        </row>
        <row r="8358">
          <cell r="B8358">
            <v>41920</v>
          </cell>
          <cell r="C8358" t="str">
            <v>$2,026,90</v>
          </cell>
        </row>
        <row r="8359">
          <cell r="B8359">
            <v>41921</v>
          </cell>
          <cell r="C8359" t="str">
            <v>$2,040,31</v>
          </cell>
        </row>
        <row r="8360">
          <cell r="B8360">
            <v>41922</v>
          </cell>
          <cell r="C8360" t="str">
            <v>$2,041,71</v>
          </cell>
        </row>
        <row r="8361">
          <cell r="B8361">
            <v>41923</v>
          </cell>
          <cell r="C8361" t="str">
            <v>$2,052,96</v>
          </cell>
        </row>
        <row r="8362">
          <cell r="B8362">
            <v>41924</v>
          </cell>
          <cell r="C8362" t="str">
            <v>$2,052,96</v>
          </cell>
        </row>
        <row r="8363">
          <cell r="B8363">
            <v>41925</v>
          </cell>
          <cell r="C8363" t="str">
            <v>$2,052,96</v>
          </cell>
        </row>
        <row r="8364">
          <cell r="B8364">
            <v>41926</v>
          </cell>
          <cell r="C8364" t="str">
            <v>$2,052,96</v>
          </cell>
        </row>
        <row r="8365">
          <cell r="B8365">
            <v>41927</v>
          </cell>
          <cell r="C8365" t="str">
            <v>$2,049,66</v>
          </cell>
        </row>
        <row r="8366">
          <cell r="B8366">
            <v>41928</v>
          </cell>
          <cell r="C8366" t="str">
            <v>$2,057,70</v>
          </cell>
        </row>
        <row r="8367">
          <cell r="B8367">
            <v>41929</v>
          </cell>
          <cell r="C8367" t="str">
            <v>$2,074,40</v>
          </cell>
        </row>
        <row r="8368">
          <cell r="B8368">
            <v>41930</v>
          </cell>
          <cell r="C8368" t="str">
            <v>$2,064,43</v>
          </cell>
        </row>
        <row r="8369">
          <cell r="B8369">
            <v>41931</v>
          </cell>
          <cell r="C8369" t="str">
            <v>$2,064,43</v>
          </cell>
        </row>
        <row r="8370">
          <cell r="B8370">
            <v>41932</v>
          </cell>
          <cell r="C8370" t="str">
            <v>$2,064,43</v>
          </cell>
        </row>
        <row r="8371">
          <cell r="B8371">
            <v>41933</v>
          </cell>
          <cell r="C8371" t="str">
            <v>$2,065,82</v>
          </cell>
        </row>
        <row r="8372">
          <cell r="B8372">
            <v>41934</v>
          </cell>
          <cell r="C8372" t="str">
            <v>$2,048,44</v>
          </cell>
        </row>
        <row r="8373">
          <cell r="B8373">
            <v>41935</v>
          </cell>
          <cell r="C8373" t="str">
            <v>$2,049,90</v>
          </cell>
        </row>
        <row r="8374">
          <cell r="B8374">
            <v>41936</v>
          </cell>
          <cell r="C8374" t="str">
            <v>$2,053,39</v>
          </cell>
        </row>
        <row r="8375">
          <cell r="B8375">
            <v>41937</v>
          </cell>
          <cell r="C8375" t="str">
            <v>$2,065,38</v>
          </cell>
        </row>
        <row r="8376">
          <cell r="B8376">
            <v>41938</v>
          </cell>
          <cell r="C8376" t="str">
            <v>$2,065,38</v>
          </cell>
        </row>
        <row r="8377">
          <cell r="B8377">
            <v>41939</v>
          </cell>
          <cell r="C8377" t="str">
            <v>$2,065,38</v>
          </cell>
        </row>
        <row r="8378">
          <cell r="B8378">
            <v>41940</v>
          </cell>
          <cell r="C8378" t="str">
            <v>$2,069,72</v>
          </cell>
        </row>
        <row r="8379">
          <cell r="B8379">
            <v>41941</v>
          </cell>
          <cell r="C8379" t="str">
            <v>$2,055,43</v>
          </cell>
        </row>
        <row r="8380">
          <cell r="B8380">
            <v>41942</v>
          </cell>
          <cell r="C8380" t="str">
            <v>$2,044,55</v>
          </cell>
        </row>
        <row r="8381">
          <cell r="B8381">
            <v>41943</v>
          </cell>
          <cell r="C8381" t="str">
            <v>$2,050,52</v>
          </cell>
        </row>
        <row r="8382">
          <cell r="B8382">
            <v>41944</v>
          </cell>
          <cell r="C8382" t="str">
            <v>$2,061,92</v>
          </cell>
        </row>
        <row r="8383">
          <cell r="B8383">
            <v>41945</v>
          </cell>
          <cell r="C8383" t="str">
            <v>$2,061,92</v>
          </cell>
        </row>
        <row r="8384">
          <cell r="B8384">
            <v>41946</v>
          </cell>
          <cell r="C8384" t="str">
            <v>$2,061,92</v>
          </cell>
        </row>
        <row r="8385">
          <cell r="B8385">
            <v>41947</v>
          </cell>
          <cell r="C8385" t="str">
            <v>$2,061,92</v>
          </cell>
        </row>
        <row r="8386">
          <cell r="B8386">
            <v>41948</v>
          </cell>
          <cell r="C8386" t="str">
            <v>$2,076,99</v>
          </cell>
        </row>
        <row r="8387">
          <cell r="B8387">
            <v>41949</v>
          </cell>
          <cell r="C8387" t="str">
            <v>$2,081,24</v>
          </cell>
        </row>
        <row r="8388">
          <cell r="B8388">
            <v>41950</v>
          </cell>
          <cell r="C8388" t="str">
            <v>$2,086,86</v>
          </cell>
        </row>
        <row r="8389">
          <cell r="B8389">
            <v>41951</v>
          </cell>
          <cell r="C8389" t="str">
            <v>$2,103,25</v>
          </cell>
        </row>
        <row r="8390">
          <cell r="B8390">
            <v>41952</v>
          </cell>
          <cell r="C8390" t="str">
            <v>$2,103,25</v>
          </cell>
        </row>
        <row r="8391">
          <cell r="B8391">
            <v>41953</v>
          </cell>
          <cell r="C8391" t="str">
            <v>$2,103,25</v>
          </cell>
        </row>
        <row r="8392">
          <cell r="B8392">
            <v>41954</v>
          </cell>
          <cell r="C8392" t="str">
            <v>$2,103,12</v>
          </cell>
        </row>
        <row r="8393">
          <cell r="B8393">
            <v>41955</v>
          </cell>
          <cell r="C8393" t="str">
            <v>$2,103,12</v>
          </cell>
        </row>
        <row r="8394">
          <cell r="B8394">
            <v>41956</v>
          </cell>
          <cell r="C8394" t="str">
            <v>$2,115,59</v>
          </cell>
        </row>
        <row r="8395">
          <cell r="B8395">
            <v>41957</v>
          </cell>
          <cell r="C8395" t="str">
            <v>$2,133,03</v>
          </cell>
        </row>
        <row r="8396">
          <cell r="B8396">
            <v>41958</v>
          </cell>
          <cell r="C8396" t="str">
            <v>$2,160,47</v>
          </cell>
        </row>
        <row r="8397">
          <cell r="B8397">
            <v>41959</v>
          </cell>
          <cell r="C8397" t="str">
            <v>$2,160,47</v>
          </cell>
        </row>
        <row r="8398">
          <cell r="B8398">
            <v>41960</v>
          </cell>
          <cell r="C8398" t="str">
            <v>$2,160,47</v>
          </cell>
        </row>
        <row r="8399">
          <cell r="B8399">
            <v>41961</v>
          </cell>
          <cell r="C8399" t="str">
            <v>$2,160,47</v>
          </cell>
        </row>
        <row r="8400">
          <cell r="B8400">
            <v>41962</v>
          </cell>
          <cell r="C8400" t="str">
            <v>$2,158,58</v>
          </cell>
        </row>
        <row r="8401">
          <cell r="B8401">
            <v>41963</v>
          </cell>
          <cell r="C8401" t="str">
            <v>$2,156,73</v>
          </cell>
        </row>
        <row r="8402">
          <cell r="B8402">
            <v>41964</v>
          </cell>
          <cell r="C8402" t="str">
            <v>$2,156,93</v>
          </cell>
        </row>
        <row r="8403">
          <cell r="B8403">
            <v>41965</v>
          </cell>
          <cell r="C8403" t="str">
            <v>$2,142,02</v>
          </cell>
        </row>
        <row r="8404">
          <cell r="B8404">
            <v>41966</v>
          </cell>
          <cell r="C8404" t="str">
            <v>$2,142,02</v>
          </cell>
        </row>
        <row r="8405">
          <cell r="B8405">
            <v>41967</v>
          </cell>
          <cell r="C8405" t="str">
            <v>$2,142,02</v>
          </cell>
        </row>
        <row r="8406">
          <cell r="B8406">
            <v>41968</v>
          </cell>
          <cell r="C8406" t="str">
            <v>$2,158,12</v>
          </cell>
        </row>
        <row r="8407">
          <cell r="B8407">
            <v>41969</v>
          </cell>
          <cell r="C8407" t="str">
            <v>$2,162,15</v>
          </cell>
        </row>
        <row r="8408">
          <cell r="B8408">
            <v>41970</v>
          </cell>
          <cell r="C8408" t="str">
            <v>$2,165,15</v>
          </cell>
        </row>
        <row r="8409">
          <cell r="B8409">
            <v>41971</v>
          </cell>
          <cell r="C8409" t="str">
            <v>$2,165,15</v>
          </cell>
        </row>
        <row r="8410">
          <cell r="B8410">
            <v>41972</v>
          </cell>
          <cell r="C8410" t="str">
            <v>$2,206,19</v>
          </cell>
        </row>
        <row r="8411">
          <cell r="B8411">
            <v>41973</v>
          </cell>
          <cell r="C8411" t="str">
            <v>$2,206,19</v>
          </cell>
        </row>
        <row r="8412">
          <cell r="B8412">
            <v>41974</v>
          </cell>
          <cell r="C8412" t="str">
            <v>$2,206,19</v>
          </cell>
        </row>
        <row r="8413">
          <cell r="B8413">
            <v>41975</v>
          </cell>
          <cell r="C8413" t="str">
            <v>$2,252,36</v>
          </cell>
        </row>
        <row r="8414">
          <cell r="B8414">
            <v>41976</v>
          </cell>
          <cell r="C8414" t="str">
            <v>$2,293,47</v>
          </cell>
        </row>
        <row r="8415">
          <cell r="B8415">
            <v>41977</v>
          </cell>
          <cell r="C8415" t="str">
            <v>$2,286,03</v>
          </cell>
        </row>
        <row r="8416">
          <cell r="B8416">
            <v>41978</v>
          </cell>
          <cell r="C8416" t="str">
            <v>$2,284,24</v>
          </cell>
        </row>
        <row r="8417">
          <cell r="B8417">
            <v>41979</v>
          </cell>
          <cell r="C8417" t="str">
            <v>$2,304,12</v>
          </cell>
        </row>
        <row r="8418">
          <cell r="B8418">
            <v>41980</v>
          </cell>
          <cell r="C8418" t="str">
            <v>$2,304,12</v>
          </cell>
        </row>
        <row r="8419">
          <cell r="B8419">
            <v>41981</v>
          </cell>
          <cell r="C8419" t="str">
            <v>$2,304,12</v>
          </cell>
        </row>
        <row r="8420">
          <cell r="B8420">
            <v>41982</v>
          </cell>
          <cell r="C8420" t="str">
            <v>$2,304,12</v>
          </cell>
        </row>
        <row r="8421">
          <cell r="B8421">
            <v>41983</v>
          </cell>
          <cell r="C8421" t="str">
            <v>$2,350,01</v>
          </cell>
        </row>
        <row r="8422">
          <cell r="B8422">
            <v>41984</v>
          </cell>
          <cell r="C8422" t="str">
            <v>$2,381,96</v>
          </cell>
        </row>
        <row r="8423">
          <cell r="B8423">
            <v>41985</v>
          </cell>
          <cell r="C8423" t="str">
            <v>$2,423,56</v>
          </cell>
        </row>
        <row r="8424">
          <cell r="B8424">
            <v>41986</v>
          </cell>
          <cell r="C8424" t="str">
            <v>$2,405,31</v>
          </cell>
        </row>
        <row r="8425">
          <cell r="B8425">
            <v>41987</v>
          </cell>
          <cell r="C8425" t="str">
            <v>$2,405,31</v>
          </cell>
        </row>
        <row r="8426">
          <cell r="B8426">
            <v>41988</v>
          </cell>
          <cell r="C8426" t="str">
            <v>$2,405,31</v>
          </cell>
        </row>
        <row r="8427">
          <cell r="B8427">
            <v>41989</v>
          </cell>
          <cell r="C8427" t="str">
            <v>$2,414,39</v>
          </cell>
        </row>
        <row r="8428">
          <cell r="B8428">
            <v>41990</v>
          </cell>
          <cell r="C8428" t="str">
            <v>$2,446,35</v>
          </cell>
        </row>
        <row r="8429">
          <cell r="B8429">
            <v>41991</v>
          </cell>
          <cell r="C8429">
            <v>2412.79</v>
          </cell>
        </row>
        <row r="8430">
          <cell r="B8430">
            <v>41992</v>
          </cell>
          <cell r="C8430">
            <v>2334.98</v>
          </cell>
        </row>
        <row r="8431">
          <cell r="B8431">
            <v>41993</v>
          </cell>
          <cell r="C8431">
            <v>2297.14</v>
          </cell>
        </row>
        <row r="8432">
          <cell r="B8432">
            <v>41994</v>
          </cell>
          <cell r="C8432">
            <v>2297.14</v>
          </cell>
        </row>
        <row r="8433">
          <cell r="B8433">
            <v>41995</v>
          </cell>
          <cell r="C8433">
            <v>2297.14</v>
          </cell>
        </row>
        <row r="8434">
          <cell r="B8434">
            <v>41996</v>
          </cell>
          <cell r="C8434">
            <v>2316.9299999999998</v>
          </cell>
        </row>
        <row r="8435">
          <cell r="B8435">
            <v>41997</v>
          </cell>
          <cell r="C8435">
            <v>2342.5700000000002</v>
          </cell>
        </row>
        <row r="8436">
          <cell r="B8436">
            <v>41998</v>
          </cell>
          <cell r="C8436">
            <v>2346.9</v>
          </cell>
        </row>
        <row r="8437">
          <cell r="B8437">
            <v>41999</v>
          </cell>
          <cell r="C8437">
            <v>2346.9</v>
          </cell>
        </row>
        <row r="8438">
          <cell r="B8438">
            <v>42000</v>
          </cell>
          <cell r="C8438">
            <v>2358.46</v>
          </cell>
        </row>
        <row r="8439">
          <cell r="B8439">
            <v>42001</v>
          </cell>
          <cell r="C8439">
            <v>2358.46</v>
          </cell>
        </row>
        <row r="8440">
          <cell r="B8440">
            <v>42002</v>
          </cell>
          <cell r="C8440">
            <v>2358.46</v>
          </cell>
        </row>
        <row r="8441">
          <cell r="B8441">
            <v>42003</v>
          </cell>
          <cell r="C8441">
            <v>2378.56</v>
          </cell>
        </row>
        <row r="8442">
          <cell r="B8442">
            <v>42004</v>
          </cell>
          <cell r="C8442">
            <v>2392.46</v>
          </cell>
        </row>
        <row r="8443">
          <cell r="B8443">
            <v>42005</v>
          </cell>
          <cell r="C8443">
            <v>2392.46</v>
          </cell>
        </row>
        <row r="8444">
          <cell r="B8444">
            <v>42006</v>
          </cell>
          <cell r="C8444">
            <v>2392.46</v>
          </cell>
        </row>
        <row r="8445">
          <cell r="B8445">
            <v>42007</v>
          </cell>
          <cell r="C8445">
            <v>2383.37</v>
          </cell>
        </row>
        <row r="8446">
          <cell r="B8446">
            <v>42008</v>
          </cell>
          <cell r="C8446">
            <v>2383.37</v>
          </cell>
        </row>
        <row r="8447">
          <cell r="B8447">
            <v>42009</v>
          </cell>
          <cell r="C8447">
            <v>2383.37</v>
          </cell>
        </row>
        <row r="8448">
          <cell r="B8448">
            <v>42010</v>
          </cell>
          <cell r="C8448">
            <v>2412.8200000000002</v>
          </cell>
        </row>
        <row r="8449">
          <cell r="B8449">
            <v>42011</v>
          </cell>
          <cell r="C8449">
            <v>2452.11</v>
          </cell>
        </row>
        <row r="8450">
          <cell r="B8450">
            <v>42012</v>
          </cell>
          <cell r="C8450">
            <v>2434.31</v>
          </cell>
        </row>
        <row r="8451">
          <cell r="B8451">
            <v>42013</v>
          </cell>
          <cell r="C8451">
            <v>2405.0300000000002</v>
          </cell>
        </row>
        <row r="8452">
          <cell r="B8452">
            <v>42014</v>
          </cell>
          <cell r="C8452">
            <v>2406.71</v>
          </cell>
        </row>
        <row r="8453">
          <cell r="B8453">
            <v>42015</v>
          </cell>
          <cell r="C8453">
            <v>2406.71</v>
          </cell>
        </row>
        <row r="8454">
          <cell r="B8454">
            <v>42016</v>
          </cell>
          <cell r="C8454">
            <v>2406.71</v>
          </cell>
        </row>
        <row r="8455">
          <cell r="B8455">
            <v>42017</v>
          </cell>
          <cell r="C8455">
            <v>2406.71</v>
          </cell>
        </row>
        <row r="8456">
          <cell r="B8456">
            <v>42018</v>
          </cell>
          <cell r="C8456">
            <v>2442.0300000000002</v>
          </cell>
        </row>
        <row r="8457">
          <cell r="B8457">
            <v>42019</v>
          </cell>
          <cell r="C8457">
            <v>2438.79</v>
          </cell>
        </row>
        <row r="8458">
          <cell r="B8458">
            <v>42020</v>
          </cell>
          <cell r="C8458">
            <v>2398.91</v>
          </cell>
        </row>
        <row r="8459">
          <cell r="B8459">
            <v>42021</v>
          </cell>
          <cell r="C8459">
            <v>2383.91</v>
          </cell>
        </row>
        <row r="8460">
          <cell r="B8460">
            <v>42022</v>
          </cell>
          <cell r="C8460">
            <v>2383.91</v>
          </cell>
        </row>
        <row r="8461">
          <cell r="B8461">
            <v>42023</v>
          </cell>
          <cell r="C8461">
            <v>2383.91</v>
          </cell>
        </row>
        <row r="8462">
          <cell r="B8462">
            <v>42024</v>
          </cell>
          <cell r="C8462">
            <v>2383.91</v>
          </cell>
        </row>
        <row r="8463">
          <cell r="B8463">
            <v>42025</v>
          </cell>
          <cell r="C8463">
            <v>2373.44</v>
          </cell>
        </row>
        <row r="8464">
          <cell r="B8464">
            <v>42026</v>
          </cell>
          <cell r="C8464">
            <v>2361.54</v>
          </cell>
        </row>
        <row r="8465">
          <cell r="B8465">
            <v>42027</v>
          </cell>
          <cell r="C8465">
            <v>2370.75</v>
          </cell>
        </row>
        <row r="8466">
          <cell r="B8466">
            <v>42028</v>
          </cell>
          <cell r="C8466">
            <v>2386.5</v>
          </cell>
        </row>
        <row r="8467">
          <cell r="B8467">
            <v>42029</v>
          </cell>
          <cell r="C8467">
            <v>2386.5</v>
          </cell>
        </row>
        <row r="8468">
          <cell r="B8468">
            <v>42030</v>
          </cell>
          <cell r="C8468">
            <v>2386.5</v>
          </cell>
        </row>
        <row r="8469">
          <cell r="B8469">
            <v>42031</v>
          </cell>
          <cell r="C8469">
            <v>2386.2800000000002</v>
          </cell>
        </row>
        <row r="8470">
          <cell r="B8470">
            <v>42032</v>
          </cell>
          <cell r="C8470">
            <v>2381.11</v>
          </cell>
        </row>
        <row r="8471">
          <cell r="B8471">
            <v>42033</v>
          </cell>
          <cell r="C8471">
            <v>2362.42</v>
          </cell>
        </row>
        <row r="8472">
          <cell r="B8472">
            <v>42034</v>
          </cell>
          <cell r="C8472">
            <v>2397.35</v>
          </cell>
        </row>
        <row r="8473">
          <cell r="B8473">
            <v>42035</v>
          </cell>
          <cell r="C8473">
            <v>2441.1</v>
          </cell>
        </row>
        <row r="8474">
          <cell r="B8474">
            <v>42036</v>
          </cell>
          <cell r="C8474">
            <v>2441.1</v>
          </cell>
        </row>
        <row r="8475">
          <cell r="B8475">
            <v>42037</v>
          </cell>
          <cell r="C8475">
            <v>2441.1</v>
          </cell>
        </row>
        <row r="8476">
          <cell r="B8476">
            <v>42038</v>
          </cell>
          <cell r="C8476">
            <v>2407.29</v>
          </cell>
        </row>
        <row r="8477">
          <cell r="B8477">
            <v>42039</v>
          </cell>
          <cell r="C8477">
            <v>2374.7199999999998</v>
          </cell>
        </row>
        <row r="8478">
          <cell r="B8478">
            <v>42040</v>
          </cell>
          <cell r="C8478">
            <v>2381.91</v>
          </cell>
        </row>
        <row r="8479">
          <cell r="B8479">
            <v>42041</v>
          </cell>
          <cell r="C8479">
            <v>2384.5300000000002</v>
          </cell>
        </row>
        <row r="8480">
          <cell r="B8480">
            <v>42042</v>
          </cell>
          <cell r="C8480">
            <v>2384.7600000000002</v>
          </cell>
        </row>
        <row r="8481">
          <cell r="B8481">
            <v>42043</v>
          </cell>
          <cell r="C8481">
            <v>2384.7600000000002</v>
          </cell>
        </row>
        <row r="8482">
          <cell r="B8482">
            <v>42044</v>
          </cell>
          <cell r="C8482">
            <v>2384.7600000000002</v>
          </cell>
        </row>
        <row r="8483">
          <cell r="B8483">
            <v>42045</v>
          </cell>
          <cell r="C8483">
            <v>2371.31</v>
          </cell>
        </row>
        <row r="8484">
          <cell r="B8484">
            <v>42046</v>
          </cell>
          <cell r="C8484">
            <v>2380.79</v>
          </cell>
        </row>
        <row r="8485">
          <cell r="B8485">
            <v>42047</v>
          </cell>
          <cell r="C8485">
            <v>2416.61</v>
          </cell>
        </row>
        <row r="8486">
          <cell r="B8486">
            <v>42048</v>
          </cell>
          <cell r="C8486">
            <v>2401.0300000000002</v>
          </cell>
        </row>
        <row r="8487">
          <cell r="B8487">
            <v>42049</v>
          </cell>
          <cell r="C8487">
            <v>2376.23</v>
          </cell>
        </row>
        <row r="8488">
          <cell r="B8488">
            <v>42050</v>
          </cell>
          <cell r="C8488">
            <v>2376.23</v>
          </cell>
        </row>
        <row r="8489">
          <cell r="B8489">
            <v>42051</v>
          </cell>
          <cell r="C8489">
            <v>2376.23</v>
          </cell>
        </row>
        <row r="8490">
          <cell r="B8490">
            <v>42052</v>
          </cell>
          <cell r="C8490">
            <v>2376.23</v>
          </cell>
        </row>
        <row r="8491">
          <cell r="B8491">
            <v>42053</v>
          </cell>
          <cell r="C8491">
            <v>2416.37</v>
          </cell>
        </row>
        <row r="8492">
          <cell r="B8492">
            <v>42054</v>
          </cell>
          <cell r="C8492">
            <v>2429.71</v>
          </cell>
        </row>
        <row r="8493">
          <cell r="B8493">
            <v>42055</v>
          </cell>
          <cell r="C8493">
            <v>2445.16</v>
          </cell>
        </row>
        <row r="8494">
          <cell r="B8494">
            <v>42056</v>
          </cell>
          <cell r="C8494">
            <v>2455.54</v>
          </cell>
        </row>
        <row r="8495">
          <cell r="B8495">
            <v>42057</v>
          </cell>
          <cell r="C8495">
            <v>2455.54</v>
          </cell>
        </row>
        <row r="8496">
          <cell r="B8496">
            <v>42058</v>
          </cell>
          <cell r="C8496">
            <v>2455.54</v>
          </cell>
        </row>
        <row r="8497">
          <cell r="B8497">
            <v>42059</v>
          </cell>
          <cell r="C8497">
            <v>2489.81</v>
          </cell>
        </row>
        <row r="8498">
          <cell r="B8498">
            <v>42060</v>
          </cell>
          <cell r="C8498">
            <v>2500.59</v>
          </cell>
        </row>
        <row r="8499">
          <cell r="B8499">
            <v>42061</v>
          </cell>
          <cell r="C8499">
            <v>2489.41</v>
          </cell>
        </row>
        <row r="8500">
          <cell r="B8500">
            <v>42062</v>
          </cell>
          <cell r="C8500">
            <v>2484.58</v>
          </cell>
        </row>
        <row r="8501">
          <cell r="B8501">
            <v>42063</v>
          </cell>
          <cell r="C8501">
            <v>2496.9899999999998</v>
          </cell>
        </row>
        <row r="8502">
          <cell r="B8502">
            <v>42064</v>
          </cell>
          <cell r="C8502">
            <v>2496.9899999999998</v>
          </cell>
        </row>
        <row r="8503">
          <cell r="B8503">
            <v>42065</v>
          </cell>
          <cell r="C8503">
            <v>2496.9899999999998</v>
          </cell>
        </row>
        <row r="8504">
          <cell r="B8504">
            <v>42066</v>
          </cell>
          <cell r="C8504">
            <v>2522.0300000000002</v>
          </cell>
        </row>
        <row r="8505">
          <cell r="B8505">
            <v>42067</v>
          </cell>
          <cell r="C8505">
            <v>2555.08</v>
          </cell>
        </row>
        <row r="8506">
          <cell r="B8506">
            <v>42068</v>
          </cell>
          <cell r="C8506">
            <v>2565.9</v>
          </cell>
        </row>
        <row r="8507">
          <cell r="B8507">
            <v>42069</v>
          </cell>
          <cell r="C8507">
            <v>2543.4699999999998</v>
          </cell>
        </row>
        <row r="8508">
          <cell r="B8508">
            <v>42070</v>
          </cell>
          <cell r="C8508">
            <v>2565.61</v>
          </cell>
        </row>
        <row r="8509">
          <cell r="B8509">
            <v>42071</v>
          </cell>
          <cell r="C8509">
            <v>2565.61</v>
          </cell>
        </row>
        <row r="8510">
          <cell r="B8510">
            <v>42072</v>
          </cell>
          <cell r="C8510">
            <v>2565.61</v>
          </cell>
        </row>
        <row r="8511">
          <cell r="B8511">
            <v>42073</v>
          </cell>
          <cell r="C8511">
            <v>2592.86</v>
          </cell>
        </row>
        <row r="8512">
          <cell r="B8512">
            <v>42074</v>
          </cell>
          <cell r="C8512">
            <v>2618.79</v>
          </cell>
        </row>
        <row r="8513">
          <cell r="B8513">
            <v>42075</v>
          </cell>
          <cell r="C8513">
            <v>2633.65</v>
          </cell>
        </row>
        <row r="8514">
          <cell r="B8514">
            <v>42076</v>
          </cell>
          <cell r="C8514">
            <v>2610.08</v>
          </cell>
        </row>
        <row r="8515">
          <cell r="B8515">
            <v>42077</v>
          </cell>
          <cell r="C8515">
            <v>2661.52</v>
          </cell>
        </row>
        <row r="8516">
          <cell r="B8516">
            <v>42078</v>
          </cell>
          <cell r="C8516">
            <v>2661.52</v>
          </cell>
        </row>
        <row r="8517">
          <cell r="B8517">
            <v>42079</v>
          </cell>
          <cell r="C8517">
            <v>2661.52</v>
          </cell>
        </row>
        <row r="8518">
          <cell r="B8518">
            <v>42080</v>
          </cell>
          <cell r="C8518">
            <v>2675.08</v>
          </cell>
        </row>
        <row r="8519">
          <cell r="B8519">
            <v>42081</v>
          </cell>
          <cell r="C8519">
            <v>2677.97</v>
          </cell>
        </row>
        <row r="8520">
          <cell r="B8520">
            <v>42082</v>
          </cell>
          <cell r="C8520">
            <v>2651.49</v>
          </cell>
        </row>
        <row r="8521">
          <cell r="B8521">
            <v>42083</v>
          </cell>
          <cell r="C8521">
            <v>2613.38</v>
          </cell>
        </row>
        <row r="8522">
          <cell r="B8522">
            <v>42084</v>
          </cell>
          <cell r="C8522">
            <v>2587.71</v>
          </cell>
        </row>
        <row r="8523">
          <cell r="B8523">
            <v>42085</v>
          </cell>
          <cell r="C8523">
            <v>2587.71</v>
          </cell>
        </row>
        <row r="8524">
          <cell r="B8524">
            <v>42086</v>
          </cell>
          <cell r="C8524">
            <v>2587.71</v>
          </cell>
        </row>
        <row r="8525">
          <cell r="B8525">
            <v>42087</v>
          </cell>
          <cell r="C8525">
            <v>2587.71</v>
          </cell>
        </row>
        <row r="8526">
          <cell r="B8526">
            <v>42088</v>
          </cell>
          <cell r="C8526">
            <v>2526.79</v>
          </cell>
        </row>
        <row r="8527">
          <cell r="B8527">
            <v>42089</v>
          </cell>
          <cell r="C8527">
            <v>2535.5500000000002</v>
          </cell>
        </row>
        <row r="8528">
          <cell r="B8528">
            <v>42090</v>
          </cell>
          <cell r="C8528">
            <v>2551.3000000000002</v>
          </cell>
        </row>
        <row r="8529">
          <cell r="B8529">
            <v>42091</v>
          </cell>
          <cell r="C8529">
            <v>2556.85</v>
          </cell>
        </row>
        <row r="8530">
          <cell r="B8530">
            <v>42092</v>
          </cell>
          <cell r="C8530">
            <v>2556.85</v>
          </cell>
        </row>
        <row r="8531">
          <cell r="B8531">
            <v>42093</v>
          </cell>
          <cell r="C8531">
            <v>2556.85</v>
          </cell>
        </row>
        <row r="8532">
          <cell r="B8532">
            <v>42094</v>
          </cell>
          <cell r="C8532">
            <v>2576.0500000000002</v>
          </cell>
        </row>
        <row r="8533">
          <cell r="B8533">
            <v>42095</v>
          </cell>
          <cell r="C8533">
            <v>2598.36</v>
          </cell>
        </row>
        <row r="8534">
          <cell r="B8534">
            <v>42096</v>
          </cell>
          <cell r="C8534">
            <v>2576.41</v>
          </cell>
        </row>
        <row r="8535">
          <cell r="B8535">
            <v>42097</v>
          </cell>
          <cell r="C8535">
            <v>2576.41</v>
          </cell>
        </row>
        <row r="8536">
          <cell r="B8536">
            <v>42098</v>
          </cell>
          <cell r="C8536">
            <v>2576.41</v>
          </cell>
        </row>
        <row r="8537">
          <cell r="B8537">
            <v>42099</v>
          </cell>
          <cell r="C8537">
            <v>2576.41</v>
          </cell>
        </row>
        <row r="8538">
          <cell r="B8538">
            <v>42100</v>
          </cell>
          <cell r="C8538">
            <v>2576.41</v>
          </cell>
        </row>
        <row r="8539">
          <cell r="B8539">
            <v>42101</v>
          </cell>
          <cell r="C8539">
            <v>2522.71</v>
          </cell>
        </row>
        <row r="8540">
          <cell r="B8540">
            <v>42102</v>
          </cell>
          <cell r="C8540">
            <v>2518.0500000000002</v>
          </cell>
        </row>
        <row r="8541">
          <cell r="B8541">
            <v>42103</v>
          </cell>
          <cell r="C8541">
            <v>2490.9</v>
          </cell>
        </row>
        <row r="8542">
          <cell r="B8542">
            <v>42104</v>
          </cell>
          <cell r="C8542">
            <v>2494.77</v>
          </cell>
        </row>
        <row r="8543">
          <cell r="B8543">
            <v>42105</v>
          </cell>
          <cell r="C8543">
            <v>2516.08</v>
          </cell>
        </row>
        <row r="8544">
          <cell r="B8544">
            <v>42106</v>
          </cell>
          <cell r="C8544">
            <v>2516.08</v>
          </cell>
        </row>
        <row r="8545">
          <cell r="B8545">
            <v>42107</v>
          </cell>
          <cell r="C8545">
            <v>2516.08</v>
          </cell>
        </row>
        <row r="8546">
          <cell r="B8546">
            <v>42108</v>
          </cell>
          <cell r="C8546">
            <v>2537.33</v>
          </cell>
        </row>
        <row r="8547">
          <cell r="B8547">
            <v>42109</v>
          </cell>
          <cell r="C8547">
            <v>2550.83</v>
          </cell>
        </row>
        <row r="8548">
          <cell r="B8548">
            <v>42110</v>
          </cell>
          <cell r="C8548">
            <v>2534.63</v>
          </cell>
        </row>
        <row r="8549">
          <cell r="B8549">
            <v>42111</v>
          </cell>
          <cell r="C8549">
            <v>2493.9299999999998</v>
          </cell>
        </row>
        <row r="8550">
          <cell r="B8550">
            <v>42112</v>
          </cell>
          <cell r="C8550">
            <v>2495.0100000000002</v>
          </cell>
        </row>
        <row r="8551">
          <cell r="B8551">
            <v>42113</v>
          </cell>
          <cell r="C8551">
            <v>2495.0100000000002</v>
          </cell>
        </row>
        <row r="8552">
          <cell r="B8552">
            <v>42114</v>
          </cell>
          <cell r="C8552">
            <v>2495.0100000000002</v>
          </cell>
        </row>
        <row r="8553">
          <cell r="B8553">
            <v>42115</v>
          </cell>
          <cell r="C8553">
            <v>2487.0700000000002</v>
          </cell>
        </row>
        <row r="8554">
          <cell r="B8554">
            <v>42116</v>
          </cell>
          <cell r="C8554">
            <v>2469.0300000000002</v>
          </cell>
        </row>
        <row r="8555">
          <cell r="B8555">
            <v>42117</v>
          </cell>
          <cell r="C8555">
            <v>2488.5</v>
          </cell>
        </row>
        <row r="8556">
          <cell r="B8556">
            <v>42118</v>
          </cell>
          <cell r="C8556">
            <v>2471.21</v>
          </cell>
        </row>
        <row r="8557">
          <cell r="B8557">
            <v>42119</v>
          </cell>
          <cell r="C8557">
            <v>2461.17</v>
          </cell>
        </row>
        <row r="8558">
          <cell r="B8558">
            <v>42120</v>
          </cell>
          <cell r="C8558">
            <v>2461.17</v>
          </cell>
        </row>
        <row r="8559">
          <cell r="B8559">
            <v>42121</v>
          </cell>
          <cell r="C8559">
            <v>2461.17</v>
          </cell>
        </row>
        <row r="8560">
          <cell r="B8560">
            <v>42122</v>
          </cell>
          <cell r="C8560">
            <v>2419.81</v>
          </cell>
        </row>
        <row r="8561">
          <cell r="B8561">
            <v>42123</v>
          </cell>
          <cell r="C8561">
            <v>2393.42</v>
          </cell>
        </row>
        <row r="8562">
          <cell r="B8562">
            <v>42124</v>
          </cell>
          <cell r="C8562">
            <v>2388.06</v>
          </cell>
        </row>
        <row r="8563">
          <cell r="B8563">
            <v>42125</v>
          </cell>
          <cell r="C8563">
            <v>2393.58</v>
          </cell>
        </row>
        <row r="8564">
          <cell r="B8564">
            <v>42126</v>
          </cell>
          <cell r="C8564">
            <v>2393.58</v>
          </cell>
        </row>
        <row r="8565">
          <cell r="B8565">
            <v>42127</v>
          </cell>
          <cell r="C8565">
            <v>2393.58</v>
          </cell>
        </row>
        <row r="8566">
          <cell r="B8566">
            <v>42128</v>
          </cell>
          <cell r="C8566">
            <v>2393.58</v>
          </cell>
        </row>
        <row r="8567">
          <cell r="B8567">
            <v>42129</v>
          </cell>
          <cell r="C8567">
            <v>2408.17</v>
          </cell>
        </row>
        <row r="8568">
          <cell r="B8568">
            <v>42130</v>
          </cell>
          <cell r="C8568">
            <v>2386.7199999999998</v>
          </cell>
        </row>
        <row r="8569">
          <cell r="B8569">
            <v>42131</v>
          </cell>
          <cell r="C8569">
            <v>2362.41</v>
          </cell>
        </row>
        <row r="8570">
          <cell r="B8570">
            <v>42132</v>
          </cell>
          <cell r="C8570">
            <v>2369.23</v>
          </cell>
        </row>
        <row r="8571">
          <cell r="B8571">
            <v>42133</v>
          </cell>
          <cell r="C8571">
            <v>2360.58</v>
          </cell>
        </row>
        <row r="8572">
          <cell r="B8572">
            <v>42134</v>
          </cell>
          <cell r="C8572">
            <v>2360.58</v>
          </cell>
        </row>
        <row r="8573">
          <cell r="B8573">
            <v>42135</v>
          </cell>
          <cell r="C8573">
            <v>2360.58</v>
          </cell>
        </row>
        <row r="8574">
          <cell r="B8574">
            <v>42136</v>
          </cell>
          <cell r="C8574">
            <v>2381.5300000000002</v>
          </cell>
        </row>
        <row r="8575">
          <cell r="B8575">
            <v>42137</v>
          </cell>
          <cell r="C8575">
            <v>2386.77</v>
          </cell>
        </row>
        <row r="8576">
          <cell r="B8576">
            <v>42138</v>
          </cell>
          <cell r="C8576">
            <v>2377.87</v>
          </cell>
        </row>
        <row r="8577">
          <cell r="B8577">
            <v>42139</v>
          </cell>
          <cell r="C8577">
            <v>2389.4899999999998</v>
          </cell>
        </row>
        <row r="8578">
          <cell r="B8578">
            <v>42140</v>
          </cell>
          <cell r="C8578">
            <v>2417.0100000000002</v>
          </cell>
        </row>
        <row r="8579">
          <cell r="B8579">
            <v>42141</v>
          </cell>
          <cell r="C8579">
            <v>2417.0100000000002</v>
          </cell>
        </row>
        <row r="8580">
          <cell r="B8580">
            <v>42142</v>
          </cell>
          <cell r="C8580">
            <v>2417.0100000000002</v>
          </cell>
        </row>
        <row r="8581">
          <cell r="B8581">
            <v>42143</v>
          </cell>
          <cell r="C8581">
            <v>2417.0100000000002</v>
          </cell>
        </row>
        <row r="8582">
          <cell r="B8582">
            <v>42144</v>
          </cell>
          <cell r="C8582">
            <v>2475.4499999999998</v>
          </cell>
        </row>
        <row r="8583">
          <cell r="B8583">
            <v>42145</v>
          </cell>
          <cell r="C8583">
            <v>2503.37</v>
          </cell>
        </row>
        <row r="8584">
          <cell r="B8584">
            <v>42146</v>
          </cell>
          <cell r="C8584">
            <v>2489.39</v>
          </cell>
        </row>
        <row r="8585">
          <cell r="B8585">
            <v>42147</v>
          </cell>
          <cell r="C8585">
            <v>2500.2199999999998</v>
          </cell>
        </row>
        <row r="8586">
          <cell r="B8586">
            <v>42148</v>
          </cell>
          <cell r="C8586">
            <v>2500.2199999999998</v>
          </cell>
        </row>
        <row r="8587">
          <cell r="B8587">
            <v>42149</v>
          </cell>
          <cell r="C8587">
            <v>2500.2199999999998</v>
          </cell>
        </row>
        <row r="8588">
          <cell r="B8588">
            <v>42150</v>
          </cell>
          <cell r="C8588">
            <v>2500.2199999999998</v>
          </cell>
        </row>
        <row r="8589">
          <cell r="B8589">
            <v>42151</v>
          </cell>
          <cell r="C8589">
            <v>2542.5300000000002</v>
          </cell>
        </row>
        <row r="8590">
          <cell r="B8590">
            <v>42152</v>
          </cell>
          <cell r="C8590">
            <v>2548.13</v>
          </cell>
        </row>
        <row r="8591">
          <cell r="B8591">
            <v>42153</v>
          </cell>
          <cell r="C8591">
            <v>2549.9699999999998</v>
          </cell>
        </row>
        <row r="8592">
          <cell r="B8592">
            <v>42154</v>
          </cell>
          <cell r="C8592">
            <v>2533.79</v>
          </cell>
        </row>
        <row r="8593">
          <cell r="B8593">
            <v>42155</v>
          </cell>
          <cell r="C8593">
            <v>2533.79</v>
          </cell>
        </row>
        <row r="8594">
          <cell r="B8594">
            <v>42156</v>
          </cell>
          <cell r="C8594">
            <v>2533.79</v>
          </cell>
        </row>
        <row r="8595">
          <cell r="B8595">
            <v>42157</v>
          </cell>
          <cell r="C8595">
            <v>2549.29</v>
          </cell>
        </row>
        <row r="8596">
          <cell r="B8596">
            <v>42158</v>
          </cell>
          <cell r="C8596">
            <v>2554.44</v>
          </cell>
        </row>
        <row r="8597">
          <cell r="B8597">
            <v>42159</v>
          </cell>
          <cell r="C8597">
            <v>2571.92</v>
          </cell>
        </row>
        <row r="8598">
          <cell r="B8598">
            <v>42160</v>
          </cell>
          <cell r="C8598">
            <v>2588.56</v>
          </cell>
        </row>
        <row r="8599">
          <cell r="B8599">
            <v>42161</v>
          </cell>
          <cell r="C8599">
            <v>2623.66</v>
          </cell>
        </row>
        <row r="8600">
          <cell r="B8600">
            <v>42162</v>
          </cell>
          <cell r="C8600">
            <v>2623.66</v>
          </cell>
        </row>
        <row r="8601">
          <cell r="B8601">
            <v>42163</v>
          </cell>
          <cell r="C8601">
            <v>2623.66</v>
          </cell>
        </row>
        <row r="8602">
          <cell r="B8602">
            <v>42164</v>
          </cell>
          <cell r="C8602">
            <v>2623.66</v>
          </cell>
        </row>
        <row r="8603">
          <cell r="B8603">
            <v>42165</v>
          </cell>
          <cell r="C8603">
            <v>2569.17</v>
          </cell>
        </row>
        <row r="8604">
          <cell r="B8604">
            <v>42166</v>
          </cell>
          <cell r="C8604">
            <v>2523</v>
          </cell>
        </row>
        <row r="8605">
          <cell r="B8605">
            <v>42167</v>
          </cell>
          <cell r="C8605">
            <v>2538.5500000000002</v>
          </cell>
        </row>
        <row r="8606">
          <cell r="B8606">
            <v>42168</v>
          </cell>
          <cell r="C8606">
            <v>2535.91</v>
          </cell>
        </row>
        <row r="8607">
          <cell r="B8607">
            <v>42169</v>
          </cell>
          <cell r="C8607">
            <v>2535.91</v>
          </cell>
        </row>
        <row r="8608">
          <cell r="B8608">
            <v>42170</v>
          </cell>
          <cell r="C8608">
            <v>2535.91</v>
          </cell>
        </row>
        <row r="8609">
          <cell r="B8609">
            <v>42171</v>
          </cell>
          <cell r="C8609">
            <v>2535.91</v>
          </cell>
        </row>
        <row r="8610">
          <cell r="B8610">
            <v>42172</v>
          </cell>
          <cell r="C8610">
            <v>2531.7199999999998</v>
          </cell>
        </row>
        <row r="8611">
          <cell r="B8611">
            <v>42173</v>
          </cell>
          <cell r="C8611">
            <v>2550.4299999999998</v>
          </cell>
        </row>
        <row r="8612">
          <cell r="B8612">
            <v>42174</v>
          </cell>
          <cell r="C8612">
            <v>2528.85</v>
          </cell>
        </row>
        <row r="8613">
          <cell r="B8613">
            <v>42175</v>
          </cell>
          <cell r="C8613">
            <v>2548.1999999999998</v>
          </cell>
        </row>
        <row r="8614">
          <cell r="B8614">
            <v>42176</v>
          </cell>
          <cell r="C8614">
            <v>2548.1999999999998</v>
          </cell>
        </row>
        <row r="8615">
          <cell r="B8615">
            <v>42177</v>
          </cell>
          <cell r="C8615">
            <v>2548.1999999999998</v>
          </cell>
        </row>
        <row r="8616">
          <cell r="B8616">
            <v>42178</v>
          </cell>
          <cell r="C8616">
            <v>2537.6799999999998</v>
          </cell>
        </row>
        <row r="8617">
          <cell r="B8617">
            <v>42179</v>
          </cell>
          <cell r="C8617">
            <v>2550.7399999999998</v>
          </cell>
        </row>
        <row r="8618">
          <cell r="B8618">
            <v>42180</v>
          </cell>
          <cell r="C8618">
            <v>2566.66</v>
          </cell>
        </row>
        <row r="8619">
          <cell r="B8619">
            <v>42181</v>
          </cell>
          <cell r="C8619">
            <v>2556.21</v>
          </cell>
        </row>
        <row r="8620">
          <cell r="B8620">
            <v>42182</v>
          </cell>
          <cell r="C8620">
            <v>2585.11</v>
          </cell>
        </row>
        <row r="8621">
          <cell r="B8621">
            <v>42183</v>
          </cell>
          <cell r="C8621">
            <v>2585.11</v>
          </cell>
        </row>
        <row r="8622">
          <cell r="B8622">
            <v>42184</v>
          </cell>
          <cell r="C8622">
            <v>2585.11</v>
          </cell>
        </row>
        <row r="8623">
          <cell r="B8623">
            <v>42185</v>
          </cell>
          <cell r="C8623">
            <v>2585.11</v>
          </cell>
        </row>
        <row r="8624">
          <cell r="B8624">
            <v>42186</v>
          </cell>
          <cell r="C8624">
            <v>2598.6799999999998</v>
          </cell>
        </row>
        <row r="8625">
          <cell r="B8625">
            <v>42187</v>
          </cell>
          <cell r="C8625">
            <v>2626.8</v>
          </cell>
        </row>
        <row r="8626">
          <cell r="B8626">
            <v>42188</v>
          </cell>
          <cell r="C8626">
            <v>2623.91</v>
          </cell>
        </row>
        <row r="8627">
          <cell r="B8627">
            <v>42189</v>
          </cell>
          <cell r="C8627">
            <v>2642.97</v>
          </cell>
        </row>
        <row r="8628">
          <cell r="B8628">
            <v>42190</v>
          </cell>
          <cell r="C8628">
            <v>2642.97</v>
          </cell>
        </row>
        <row r="8629">
          <cell r="B8629">
            <v>42191</v>
          </cell>
          <cell r="C8629">
            <v>2642.97</v>
          </cell>
        </row>
        <row r="8630">
          <cell r="B8630">
            <v>42192</v>
          </cell>
          <cell r="C8630">
            <v>2665.41</v>
          </cell>
        </row>
        <row r="8631">
          <cell r="B8631">
            <v>42193</v>
          </cell>
          <cell r="C8631">
            <v>2690.15</v>
          </cell>
        </row>
        <row r="8632">
          <cell r="B8632">
            <v>42194</v>
          </cell>
          <cell r="C8632">
            <v>2690.79</v>
          </cell>
        </row>
        <row r="8633">
          <cell r="B8633">
            <v>42195</v>
          </cell>
          <cell r="C8633">
            <v>2670.79</v>
          </cell>
        </row>
        <row r="8634">
          <cell r="B8634">
            <v>42196</v>
          </cell>
          <cell r="C8634">
            <v>2667.37</v>
          </cell>
        </row>
        <row r="8635">
          <cell r="B8635">
            <v>42197</v>
          </cell>
          <cell r="C8635">
            <v>2667.37</v>
          </cell>
        </row>
        <row r="8636">
          <cell r="B8636">
            <v>42198</v>
          </cell>
          <cell r="C8636">
            <v>2667.37</v>
          </cell>
        </row>
        <row r="8637">
          <cell r="B8637">
            <v>42199</v>
          </cell>
          <cell r="C8637">
            <v>2693.54</v>
          </cell>
        </row>
        <row r="8638">
          <cell r="B8638">
            <v>42200</v>
          </cell>
          <cell r="C8638">
            <v>2688.2</v>
          </cell>
        </row>
        <row r="8639">
          <cell r="B8639">
            <v>42201</v>
          </cell>
          <cell r="C8639">
            <v>2713.04</v>
          </cell>
        </row>
        <row r="8640">
          <cell r="B8640">
            <v>42202</v>
          </cell>
          <cell r="C8640">
            <v>2727.23</v>
          </cell>
        </row>
        <row r="8641">
          <cell r="B8641">
            <v>42203</v>
          </cell>
          <cell r="C8641">
            <v>2751.88</v>
          </cell>
        </row>
        <row r="8642">
          <cell r="B8642">
            <v>42204</v>
          </cell>
          <cell r="C8642">
            <v>2751.88</v>
          </cell>
        </row>
        <row r="8643">
          <cell r="B8643">
            <v>42205</v>
          </cell>
          <cell r="C8643">
            <v>2751.88</v>
          </cell>
        </row>
        <row r="8644">
          <cell r="B8644">
            <v>42206</v>
          </cell>
          <cell r="C8644">
            <v>2751.88</v>
          </cell>
        </row>
        <row r="8645">
          <cell r="B8645">
            <v>42207</v>
          </cell>
          <cell r="C8645">
            <v>2765.1</v>
          </cell>
        </row>
        <row r="8646">
          <cell r="B8646">
            <v>42208</v>
          </cell>
          <cell r="C8646">
            <v>2790.26</v>
          </cell>
        </row>
        <row r="8647">
          <cell r="B8647">
            <v>42209</v>
          </cell>
          <cell r="C8647">
            <v>2807.36</v>
          </cell>
        </row>
        <row r="8648">
          <cell r="B8648">
            <v>42210</v>
          </cell>
          <cell r="C8648">
            <v>2857.46</v>
          </cell>
        </row>
        <row r="8649">
          <cell r="B8649">
            <v>42211</v>
          </cell>
          <cell r="C8649">
            <v>2857.46</v>
          </cell>
        </row>
        <row r="8650">
          <cell r="B8650">
            <v>42212</v>
          </cell>
          <cell r="C8650">
            <v>2857.46</v>
          </cell>
        </row>
        <row r="8651">
          <cell r="B8651">
            <v>42213</v>
          </cell>
          <cell r="C8651">
            <v>2854.13</v>
          </cell>
        </row>
        <row r="8652">
          <cell r="B8652">
            <v>42214</v>
          </cell>
          <cell r="C8652">
            <v>2855.44</v>
          </cell>
        </row>
        <row r="8653">
          <cell r="B8653">
            <v>42215</v>
          </cell>
          <cell r="C8653">
            <v>2855.32</v>
          </cell>
        </row>
        <row r="8654">
          <cell r="B8654">
            <v>42216</v>
          </cell>
          <cell r="C8654">
            <v>2866.04</v>
          </cell>
        </row>
        <row r="8655">
          <cell r="B8655">
            <v>42217</v>
          </cell>
          <cell r="C8655">
            <v>2862.51</v>
          </cell>
        </row>
        <row r="8656">
          <cell r="B8656">
            <v>42218</v>
          </cell>
          <cell r="C8656">
            <v>2862.51</v>
          </cell>
        </row>
        <row r="8657">
          <cell r="B8657">
            <v>42219</v>
          </cell>
          <cell r="C8657">
            <v>2862.51</v>
          </cell>
        </row>
        <row r="8658">
          <cell r="B8658">
            <v>42220</v>
          </cell>
          <cell r="C8658">
            <v>2902.98</v>
          </cell>
        </row>
        <row r="8659">
          <cell r="B8659">
            <v>42221</v>
          </cell>
          <cell r="C8659">
            <v>2906.95</v>
          </cell>
        </row>
        <row r="8660">
          <cell r="B8660">
            <v>42222</v>
          </cell>
          <cell r="C8660">
            <v>2945.97</v>
          </cell>
        </row>
        <row r="8661">
          <cell r="B8661">
            <v>42223</v>
          </cell>
          <cell r="C8661">
            <v>2955.31</v>
          </cell>
        </row>
        <row r="8662">
          <cell r="B8662">
            <v>42224</v>
          </cell>
          <cell r="C8662">
            <v>2955.31</v>
          </cell>
        </row>
        <row r="8663">
          <cell r="B8663">
            <v>42225</v>
          </cell>
          <cell r="C8663">
            <v>2955.31</v>
          </cell>
        </row>
        <row r="8664">
          <cell r="B8664">
            <v>42226</v>
          </cell>
          <cell r="C8664">
            <v>2955.31</v>
          </cell>
        </row>
        <row r="8665">
          <cell r="B8665">
            <v>42227</v>
          </cell>
          <cell r="C8665">
            <v>2913.45</v>
          </cell>
        </row>
        <row r="8666">
          <cell r="B8666">
            <v>42228</v>
          </cell>
          <cell r="C8666">
            <v>2943.97</v>
          </cell>
        </row>
        <row r="8667">
          <cell r="B8667">
            <v>42229</v>
          </cell>
          <cell r="C8667">
            <v>2937.63</v>
          </cell>
        </row>
        <row r="8668">
          <cell r="B8668">
            <v>42230</v>
          </cell>
          <cell r="C8668">
            <v>2966.12</v>
          </cell>
        </row>
        <row r="8669">
          <cell r="B8669">
            <v>42231</v>
          </cell>
          <cell r="C8669">
            <v>2983.12</v>
          </cell>
        </row>
        <row r="8670">
          <cell r="B8670">
            <v>42232</v>
          </cell>
          <cell r="C8670">
            <v>2983.12</v>
          </cell>
        </row>
        <row r="8671">
          <cell r="B8671">
            <v>42233</v>
          </cell>
          <cell r="C8671">
            <v>2983.12</v>
          </cell>
        </row>
        <row r="8672">
          <cell r="B8672">
            <v>42234</v>
          </cell>
          <cell r="C8672">
            <v>2983.12</v>
          </cell>
        </row>
        <row r="8673">
          <cell r="B8673">
            <v>42235</v>
          </cell>
          <cell r="C8673">
            <v>3003.35</v>
          </cell>
        </row>
        <row r="8674">
          <cell r="B8674">
            <v>42236</v>
          </cell>
          <cell r="C8674">
            <v>3027.2</v>
          </cell>
        </row>
        <row r="8675">
          <cell r="B8675">
            <v>42237</v>
          </cell>
          <cell r="C8675">
            <v>3053.65</v>
          </cell>
        </row>
        <row r="8676">
          <cell r="B8676">
            <v>42238</v>
          </cell>
          <cell r="C8676">
            <v>3102.6</v>
          </cell>
        </row>
        <row r="8677">
          <cell r="B8677">
            <v>42239</v>
          </cell>
          <cell r="C8677">
            <v>3102.6</v>
          </cell>
        </row>
        <row r="8678">
          <cell r="B8678">
            <v>42240</v>
          </cell>
          <cell r="C8678">
            <v>3102.6</v>
          </cell>
        </row>
        <row r="8679">
          <cell r="B8679">
            <v>42241</v>
          </cell>
          <cell r="C8679">
            <v>3208.37</v>
          </cell>
        </row>
        <row r="8680">
          <cell r="B8680">
            <v>42242</v>
          </cell>
          <cell r="C8680">
            <v>3194.24</v>
          </cell>
        </row>
        <row r="8681">
          <cell r="B8681">
            <v>42243</v>
          </cell>
          <cell r="C8681">
            <v>3238.51</v>
          </cell>
        </row>
        <row r="8682">
          <cell r="B8682">
            <v>42244</v>
          </cell>
          <cell r="C8682">
            <v>3195.47</v>
          </cell>
        </row>
        <row r="8683">
          <cell r="B8683">
            <v>42245</v>
          </cell>
          <cell r="C8683">
            <v>3101.1</v>
          </cell>
        </row>
        <row r="8684">
          <cell r="B8684">
            <v>42246</v>
          </cell>
          <cell r="C8684">
            <v>3101.1</v>
          </cell>
        </row>
        <row r="8685">
          <cell r="B8685">
            <v>42247</v>
          </cell>
          <cell r="C8685">
            <v>3101.1</v>
          </cell>
        </row>
        <row r="8686">
          <cell r="B8686">
            <v>42248</v>
          </cell>
          <cell r="C8686">
            <v>3079.97</v>
          </cell>
        </row>
        <row r="8687">
          <cell r="B8687">
            <v>42249</v>
          </cell>
          <cell r="C8687">
            <v>3093.64</v>
          </cell>
        </row>
        <row r="8688">
          <cell r="B8688">
            <v>42250</v>
          </cell>
          <cell r="C8688">
            <v>3142.34</v>
          </cell>
        </row>
        <row r="8689">
          <cell r="B8689">
            <v>42251</v>
          </cell>
          <cell r="C8689">
            <v>3119.93</v>
          </cell>
        </row>
        <row r="8690">
          <cell r="B8690">
            <v>42252</v>
          </cell>
          <cell r="C8690">
            <v>3113.55</v>
          </cell>
        </row>
        <row r="8691">
          <cell r="B8691">
            <v>42253</v>
          </cell>
          <cell r="C8691">
            <v>3113.55</v>
          </cell>
        </row>
        <row r="8692">
          <cell r="B8692">
            <v>42254</v>
          </cell>
          <cell r="C8692">
            <v>3113.55</v>
          </cell>
        </row>
        <row r="8693">
          <cell r="B8693">
            <v>42255</v>
          </cell>
          <cell r="C8693">
            <v>3113.55</v>
          </cell>
        </row>
        <row r="8694">
          <cell r="B8694">
            <v>42256</v>
          </cell>
          <cell r="C8694">
            <v>3138.46</v>
          </cell>
        </row>
        <row r="8695">
          <cell r="B8695">
            <v>42257</v>
          </cell>
          <cell r="C8695">
            <v>3105.4</v>
          </cell>
        </row>
        <row r="8696">
          <cell r="B8696">
            <v>42258</v>
          </cell>
          <cell r="C8696">
            <v>3080.57</v>
          </cell>
        </row>
        <row r="8697">
          <cell r="B8697">
            <v>42259</v>
          </cell>
          <cell r="C8697">
            <v>3012.96</v>
          </cell>
        </row>
        <row r="8698">
          <cell r="B8698">
            <v>42260</v>
          </cell>
          <cell r="C8698">
            <v>3012.96</v>
          </cell>
        </row>
        <row r="8699">
          <cell r="B8699">
            <v>42261</v>
          </cell>
          <cell r="C8699">
            <v>3012.96</v>
          </cell>
        </row>
        <row r="8700">
          <cell r="B8700">
            <v>42262</v>
          </cell>
          <cell r="C8700">
            <v>3032.59</v>
          </cell>
        </row>
        <row r="8701">
          <cell r="B8701">
            <v>42263</v>
          </cell>
          <cell r="C8701">
            <v>3025.28</v>
          </cell>
        </row>
        <row r="8702">
          <cell r="B8702">
            <v>42264</v>
          </cell>
          <cell r="C8702" t="str">
            <v>$2,989,04</v>
          </cell>
        </row>
        <row r="8703">
          <cell r="B8703">
            <v>42265</v>
          </cell>
          <cell r="C8703" t="str">
            <v>$2,975,13</v>
          </cell>
        </row>
        <row r="8704">
          <cell r="B8704">
            <v>42266</v>
          </cell>
          <cell r="C8704" t="str">
            <v>$2,984,90</v>
          </cell>
        </row>
        <row r="8705">
          <cell r="B8705">
            <v>42267</v>
          </cell>
          <cell r="C8705" t="str">
            <v>$2,984,90</v>
          </cell>
        </row>
        <row r="8706">
          <cell r="B8706">
            <v>42268</v>
          </cell>
          <cell r="C8706" t="str">
            <v>$2,984,90</v>
          </cell>
        </row>
        <row r="8707">
          <cell r="B8707">
            <v>42269</v>
          </cell>
          <cell r="C8707" t="str">
            <v>$3,001,68</v>
          </cell>
        </row>
        <row r="8708">
          <cell r="B8708">
            <v>42270</v>
          </cell>
          <cell r="C8708" t="str">
            <v>$3,065,74</v>
          </cell>
        </row>
        <row r="8709">
          <cell r="B8709">
            <v>42271</v>
          </cell>
          <cell r="C8709" t="str">
            <v>$3,099,28</v>
          </cell>
        </row>
        <row r="8710">
          <cell r="B8710">
            <v>42272</v>
          </cell>
          <cell r="C8710" t="str">
            <v>$3,135,17</v>
          </cell>
        </row>
        <row r="8711">
          <cell r="B8711">
            <v>42273</v>
          </cell>
          <cell r="C8711" t="str">
            <v>$3,080,44</v>
          </cell>
        </row>
        <row r="8712">
          <cell r="B8712">
            <v>42274</v>
          </cell>
          <cell r="C8712" t="str">
            <v>$3,080,44</v>
          </cell>
        </row>
        <row r="8713">
          <cell r="B8713">
            <v>42275</v>
          </cell>
          <cell r="C8713" t="str">
            <v>$3,080,44</v>
          </cell>
        </row>
        <row r="8714">
          <cell r="B8714">
            <v>42276</v>
          </cell>
          <cell r="C8714" t="str">
            <v>$3,096,98</v>
          </cell>
        </row>
        <row r="8715">
          <cell r="B8715">
            <v>42277</v>
          </cell>
          <cell r="C8715" t="str">
            <v>$3,121,94</v>
          </cell>
        </row>
        <row r="8716">
          <cell r="B8716">
            <v>42278</v>
          </cell>
          <cell r="C8716" t="str">
            <v>$3,086,75</v>
          </cell>
        </row>
        <row r="8717">
          <cell r="B8717">
            <v>42279</v>
          </cell>
          <cell r="C8717" t="str">
            <v>$3,061,85</v>
          </cell>
        </row>
        <row r="8718">
          <cell r="B8718">
            <v>42280</v>
          </cell>
          <cell r="C8718" t="str">
            <v>$3,034,90</v>
          </cell>
        </row>
        <row r="8719">
          <cell r="B8719">
            <v>42281</v>
          </cell>
          <cell r="C8719" t="str">
            <v>$3,034,90</v>
          </cell>
        </row>
        <row r="8720">
          <cell r="B8720">
            <v>42282</v>
          </cell>
          <cell r="C8720" t="str">
            <v>$3,034,90</v>
          </cell>
        </row>
        <row r="8721">
          <cell r="B8721">
            <v>42283</v>
          </cell>
          <cell r="C8721" t="str">
            <v>$2,971,15</v>
          </cell>
        </row>
        <row r="8722">
          <cell r="B8722">
            <v>42284</v>
          </cell>
          <cell r="C8722" t="str">
            <v>$2,913,74</v>
          </cell>
        </row>
        <row r="8723">
          <cell r="B8723">
            <v>42285</v>
          </cell>
          <cell r="C8723" t="str">
            <v>$2,891,91</v>
          </cell>
        </row>
        <row r="8724">
          <cell r="B8724">
            <v>42286</v>
          </cell>
          <cell r="C8724" t="str">
            <v>$2,887,21</v>
          </cell>
        </row>
        <row r="8725">
          <cell r="B8725">
            <v>42287</v>
          </cell>
          <cell r="C8725" t="str">
            <v>$2,855,74</v>
          </cell>
        </row>
        <row r="8726">
          <cell r="B8726">
            <v>42288</v>
          </cell>
          <cell r="C8726" t="str">
            <v>$2,855,74</v>
          </cell>
        </row>
        <row r="8727">
          <cell r="B8727">
            <v>42289</v>
          </cell>
          <cell r="C8727" t="str">
            <v>$2,855,74</v>
          </cell>
        </row>
        <row r="8728">
          <cell r="B8728">
            <v>42290</v>
          </cell>
          <cell r="C8728" t="str">
            <v>$2,855,74</v>
          </cell>
        </row>
        <row r="8729">
          <cell r="B8729">
            <v>42291</v>
          </cell>
          <cell r="C8729" t="str">
            <v>$2,910,70</v>
          </cell>
        </row>
        <row r="8730">
          <cell r="B8730">
            <v>42292</v>
          </cell>
          <cell r="C8730" t="str">
            <v>$2,928,69</v>
          </cell>
        </row>
        <row r="8731">
          <cell r="B8731">
            <v>42293</v>
          </cell>
          <cell r="C8731" t="str">
            <v>$2,908,87</v>
          </cell>
        </row>
        <row r="8732">
          <cell r="B8732">
            <v>42294</v>
          </cell>
          <cell r="C8732" t="str">
            <v>$2,879,89</v>
          </cell>
        </row>
        <row r="8733">
          <cell r="B8733">
            <v>42295</v>
          </cell>
          <cell r="C8733" t="str">
            <v>$2,879,89</v>
          </cell>
        </row>
        <row r="8734">
          <cell r="B8734">
            <v>42296</v>
          </cell>
          <cell r="C8734" t="str">
            <v>$2,879,89</v>
          </cell>
        </row>
        <row r="8735">
          <cell r="B8735">
            <v>42297</v>
          </cell>
          <cell r="C8735" t="str">
            <v>$2,912,99</v>
          </cell>
        </row>
        <row r="8736">
          <cell r="B8736">
            <v>42298</v>
          </cell>
          <cell r="C8736" t="str">
            <v>$2,929,19</v>
          </cell>
        </row>
        <row r="8737">
          <cell r="B8737">
            <v>42299</v>
          </cell>
          <cell r="C8737" t="str">
            <v>$2,966,68</v>
          </cell>
        </row>
        <row r="8738">
          <cell r="B8738">
            <v>42300</v>
          </cell>
          <cell r="C8738" t="str">
            <v>$2,925,36</v>
          </cell>
        </row>
        <row r="8739">
          <cell r="B8739">
            <v>42301</v>
          </cell>
          <cell r="C8739" t="str">
            <v>$2,912,08</v>
          </cell>
        </row>
        <row r="8740">
          <cell r="B8740">
            <v>42302</v>
          </cell>
          <cell r="C8740" t="str">
            <v>$2,912,08</v>
          </cell>
        </row>
        <row r="8741">
          <cell r="B8741">
            <v>42303</v>
          </cell>
          <cell r="C8741" t="str">
            <v>$2,912,08</v>
          </cell>
        </row>
        <row r="8742">
          <cell r="B8742">
            <v>42304</v>
          </cell>
          <cell r="C8742" t="str">
            <v>$2,918,21</v>
          </cell>
        </row>
        <row r="8743">
          <cell r="B8743">
            <v>42305</v>
          </cell>
          <cell r="C8743" t="str">
            <v>$2,950,87</v>
          </cell>
        </row>
        <row r="8744">
          <cell r="B8744">
            <v>42306</v>
          </cell>
          <cell r="C8744" t="str">
            <v>$2,926,75</v>
          </cell>
        </row>
        <row r="8745">
          <cell r="B8745">
            <v>42307</v>
          </cell>
          <cell r="C8745" t="str">
            <v>$2,921,32</v>
          </cell>
        </row>
        <row r="8746">
          <cell r="B8746">
            <v>42308</v>
          </cell>
          <cell r="C8746" t="str">
            <v>$2,897,83</v>
          </cell>
        </row>
        <row r="8747">
          <cell r="B8747">
            <v>42309</v>
          </cell>
          <cell r="C8747" t="str">
            <v>$2,897,83</v>
          </cell>
        </row>
        <row r="8748">
          <cell r="B8748">
            <v>42310</v>
          </cell>
          <cell r="C8748" t="str">
            <v>$2,897,83</v>
          </cell>
        </row>
        <row r="8749">
          <cell r="B8749">
            <v>42311</v>
          </cell>
          <cell r="C8749" t="str">
            <v>$2,897,83</v>
          </cell>
        </row>
        <row r="8750">
          <cell r="B8750">
            <v>42312</v>
          </cell>
          <cell r="C8750" t="str">
            <v>$2,825,25</v>
          </cell>
        </row>
        <row r="8751">
          <cell r="B8751">
            <v>42313</v>
          </cell>
          <cell r="C8751" t="str">
            <v>$2,819,63</v>
          </cell>
        </row>
        <row r="8752">
          <cell r="B8752">
            <v>42314</v>
          </cell>
          <cell r="C8752" t="str">
            <v>$2,853,32</v>
          </cell>
        </row>
        <row r="8753">
          <cell r="B8753">
            <v>42315</v>
          </cell>
          <cell r="C8753" t="str">
            <v>$2,896,19</v>
          </cell>
        </row>
        <row r="8754">
          <cell r="B8754">
            <v>42316</v>
          </cell>
          <cell r="C8754" t="str">
            <v>$2,896,19</v>
          </cell>
        </row>
        <row r="8755">
          <cell r="B8755">
            <v>42317</v>
          </cell>
          <cell r="C8755" t="str">
            <v>$2,896,19</v>
          </cell>
        </row>
        <row r="8756">
          <cell r="B8756">
            <v>42318</v>
          </cell>
          <cell r="C8756" t="str">
            <v>$2,921,15</v>
          </cell>
        </row>
        <row r="8757">
          <cell r="B8757">
            <v>42319</v>
          </cell>
          <cell r="C8757" t="str">
            <v>$2,935,86</v>
          </cell>
        </row>
        <row r="8758">
          <cell r="B8758">
            <v>42320</v>
          </cell>
          <cell r="C8758" t="str">
            <v>$2,935,86</v>
          </cell>
        </row>
        <row r="8759">
          <cell r="B8759">
            <v>42321</v>
          </cell>
          <cell r="C8759" t="str">
            <v>$3,009,36</v>
          </cell>
        </row>
        <row r="8760">
          <cell r="B8760">
            <v>42322</v>
          </cell>
          <cell r="C8760" t="str">
            <v>$3,073,23</v>
          </cell>
        </row>
        <row r="8761">
          <cell r="B8761">
            <v>42323</v>
          </cell>
          <cell r="C8761" t="str">
            <v>$3,073,23</v>
          </cell>
        </row>
        <row r="8762">
          <cell r="B8762">
            <v>42324</v>
          </cell>
          <cell r="C8762" t="str">
            <v>$3,073,23</v>
          </cell>
        </row>
        <row r="8763">
          <cell r="B8763">
            <v>42325</v>
          </cell>
          <cell r="C8763" t="str">
            <v>$3,073,23</v>
          </cell>
        </row>
        <row r="8764">
          <cell r="B8764">
            <v>42326</v>
          </cell>
          <cell r="C8764" t="str">
            <v>$3,069,24</v>
          </cell>
        </row>
        <row r="8765">
          <cell r="B8765">
            <v>42327</v>
          </cell>
          <cell r="C8765" t="str">
            <v>$3,108,70</v>
          </cell>
        </row>
        <row r="8766">
          <cell r="B8766">
            <v>42328</v>
          </cell>
          <cell r="C8766" t="str">
            <v>$3,082,04</v>
          </cell>
        </row>
        <row r="8767">
          <cell r="B8767">
            <v>42329</v>
          </cell>
          <cell r="C8767" t="str">
            <v>$3,047,31</v>
          </cell>
        </row>
        <row r="8768">
          <cell r="B8768">
            <v>42330</v>
          </cell>
          <cell r="C8768" t="str">
            <v>$3,047,31</v>
          </cell>
        </row>
        <row r="8769">
          <cell r="B8769">
            <v>42331</v>
          </cell>
          <cell r="C8769" t="str">
            <v>$3,047,31</v>
          </cell>
        </row>
        <row r="8770">
          <cell r="B8770">
            <v>42332</v>
          </cell>
          <cell r="C8770" t="str">
            <v>$3,086,82</v>
          </cell>
        </row>
        <row r="8771">
          <cell r="B8771">
            <v>42333</v>
          </cell>
          <cell r="C8771" t="str">
            <v>$3,074,35</v>
          </cell>
        </row>
        <row r="8772">
          <cell r="B8772">
            <v>42334</v>
          </cell>
          <cell r="C8772" t="str">
            <v>$3,099,75</v>
          </cell>
        </row>
        <row r="8773">
          <cell r="B8773">
            <v>42335</v>
          </cell>
          <cell r="C8773" t="str">
            <v>$3,099,75</v>
          </cell>
        </row>
        <row r="8774">
          <cell r="B8774">
            <v>42336</v>
          </cell>
          <cell r="C8774" t="str">
            <v>$3,101,10</v>
          </cell>
        </row>
        <row r="8775">
          <cell r="B8775">
            <v>42337</v>
          </cell>
          <cell r="C8775" t="str">
            <v>$3,101,10</v>
          </cell>
        </row>
        <row r="8776">
          <cell r="B8776">
            <v>42338</v>
          </cell>
          <cell r="C8776" t="str">
            <v>$3,101,10</v>
          </cell>
        </row>
        <row r="8777">
          <cell r="B8777">
            <v>42339</v>
          </cell>
          <cell r="C8777" t="str">
            <v>$3,142,11</v>
          </cell>
        </row>
        <row r="8778">
          <cell r="B8778">
            <v>42340</v>
          </cell>
          <cell r="C8778" t="str">
            <v>$3,131,95</v>
          </cell>
        </row>
        <row r="8779">
          <cell r="B8779">
            <v>42341</v>
          </cell>
          <cell r="C8779" t="str">
            <v>$3,166,67</v>
          </cell>
        </row>
        <row r="8780">
          <cell r="B8780">
            <v>42342</v>
          </cell>
          <cell r="C8780" t="str">
            <v>$3,149,12</v>
          </cell>
        </row>
        <row r="8781">
          <cell r="B8781">
            <v>42343</v>
          </cell>
          <cell r="C8781" t="str">
            <v>$3,179,22</v>
          </cell>
        </row>
        <row r="8782">
          <cell r="B8782">
            <v>42344</v>
          </cell>
          <cell r="C8782" t="str">
            <v>$3,179,22</v>
          </cell>
        </row>
        <row r="8783">
          <cell r="B8783">
            <v>42345</v>
          </cell>
          <cell r="C8783" t="str">
            <v>$3,179,22</v>
          </cell>
        </row>
        <row r="8784">
          <cell r="B8784">
            <v>42346</v>
          </cell>
          <cell r="C8784" t="str">
            <v>$3,287,03</v>
          </cell>
        </row>
        <row r="8785">
          <cell r="B8785">
            <v>42347</v>
          </cell>
          <cell r="C8785" t="str">
            <v>$3,287,03</v>
          </cell>
        </row>
        <row r="8786">
          <cell r="B8786">
            <v>42348</v>
          </cell>
          <cell r="C8786" t="str">
            <v>$3,294,02</v>
          </cell>
        </row>
        <row r="8787">
          <cell r="B8787">
            <v>42349</v>
          </cell>
          <cell r="C8787" t="str">
            <v>$3,259,56</v>
          </cell>
        </row>
        <row r="8788">
          <cell r="B8788">
            <v>42350</v>
          </cell>
          <cell r="C8788" t="str">
            <v>$3,299,36</v>
          </cell>
        </row>
        <row r="8789">
          <cell r="B8789">
            <v>42351</v>
          </cell>
          <cell r="C8789" t="str">
            <v>$3,299,36</v>
          </cell>
        </row>
        <row r="8790">
          <cell r="B8790">
            <v>42352</v>
          </cell>
          <cell r="C8790" t="str">
            <v>$3,299,36</v>
          </cell>
        </row>
        <row r="8791">
          <cell r="B8791">
            <v>42353</v>
          </cell>
          <cell r="C8791" t="str">
            <v>$3,356,00</v>
          </cell>
        </row>
        <row r="8792">
          <cell r="B8792">
            <v>42354</v>
          </cell>
          <cell r="C8792" t="str">
            <v>$3,328,08</v>
          </cell>
        </row>
        <row r="8793">
          <cell r="B8793">
            <v>42355</v>
          </cell>
          <cell r="C8793" t="str">
            <v>$3,317,72</v>
          </cell>
        </row>
        <row r="8794">
          <cell r="B8794">
            <v>42356</v>
          </cell>
          <cell r="C8794" t="str">
            <v>$3,333,37</v>
          </cell>
        </row>
        <row r="8795">
          <cell r="B8795">
            <v>42357</v>
          </cell>
          <cell r="C8795" t="str">
            <v>$3,337,68</v>
          </cell>
        </row>
        <row r="8796">
          <cell r="B8796">
            <v>42358</v>
          </cell>
          <cell r="C8796" t="str">
            <v>$3,337,68</v>
          </cell>
        </row>
        <row r="8797">
          <cell r="B8797">
            <v>42359</v>
          </cell>
          <cell r="C8797" t="str">
            <v>$3,337,68</v>
          </cell>
        </row>
        <row r="8798">
          <cell r="B8798">
            <v>42360</v>
          </cell>
          <cell r="C8798" t="str">
            <v>$3,332,70</v>
          </cell>
        </row>
        <row r="8799">
          <cell r="B8799">
            <v>42361</v>
          </cell>
          <cell r="C8799" t="str">
            <v>$3,307,24</v>
          </cell>
        </row>
        <row r="8800">
          <cell r="B8800">
            <v>42362</v>
          </cell>
          <cell r="C8800" t="str">
            <v>$3,255,19</v>
          </cell>
        </row>
        <row r="8801">
          <cell r="B8801">
            <v>42363</v>
          </cell>
          <cell r="C8801" t="str">
            <v>$3,172,03</v>
          </cell>
        </row>
        <row r="8802">
          <cell r="B8802">
            <v>42364</v>
          </cell>
          <cell r="C8802" t="str">
            <v>$3,172,03</v>
          </cell>
        </row>
        <row r="8803">
          <cell r="B8803">
            <v>42365</v>
          </cell>
          <cell r="C8803" t="str">
            <v>$3,172,03</v>
          </cell>
        </row>
        <row r="8804">
          <cell r="B8804">
            <v>42366</v>
          </cell>
          <cell r="C8804" t="str">
            <v>$3,172,03</v>
          </cell>
        </row>
        <row r="8805">
          <cell r="B8805">
            <v>42367</v>
          </cell>
          <cell r="C8805" t="str">
            <v>$3,180,87</v>
          </cell>
        </row>
        <row r="8806">
          <cell r="B8806">
            <v>42368</v>
          </cell>
          <cell r="C8806" t="str">
            <v>$3,155,22</v>
          </cell>
        </row>
        <row r="8807">
          <cell r="B8807">
            <v>42369</v>
          </cell>
          <cell r="C8807" t="str">
            <v>$3,149,47</v>
          </cell>
        </row>
        <row r="8808">
          <cell r="B8808">
            <v>42370</v>
          </cell>
          <cell r="C8808" t="str">
            <v>$3,149,47</v>
          </cell>
        </row>
        <row r="8809">
          <cell r="B8809">
            <v>42371</v>
          </cell>
          <cell r="C8809" t="str">
            <v>$3,149,47</v>
          </cell>
        </row>
        <row r="8810">
          <cell r="B8810">
            <v>42372</v>
          </cell>
          <cell r="C8810" t="str">
            <v>$3,149,47</v>
          </cell>
        </row>
        <row r="8811">
          <cell r="B8811">
            <v>42373</v>
          </cell>
          <cell r="C8811" t="str">
            <v>$3,149,47</v>
          </cell>
        </row>
        <row r="8812">
          <cell r="B8812">
            <v>42374</v>
          </cell>
          <cell r="C8812" t="str">
            <v>$3,213,24</v>
          </cell>
        </row>
        <row r="8813">
          <cell r="B8813">
            <v>42375</v>
          </cell>
          <cell r="C8813" t="str">
            <v>$3,203,86</v>
          </cell>
        </row>
        <row r="8814">
          <cell r="B8814">
            <v>42376</v>
          </cell>
          <cell r="C8814" t="str">
            <v>$3,250,69</v>
          </cell>
        </row>
        <row r="8815">
          <cell r="B8815">
            <v>42377</v>
          </cell>
          <cell r="C8815" t="str">
            <v>$3,287,28</v>
          </cell>
        </row>
        <row r="8816">
          <cell r="B8816">
            <v>42378</v>
          </cell>
          <cell r="C8816" t="str">
            <v>$3,268,37</v>
          </cell>
        </row>
        <row r="8817">
          <cell r="B8817">
            <v>42379</v>
          </cell>
          <cell r="C8817" t="str">
            <v>$3,268,37</v>
          </cell>
        </row>
        <row r="8818">
          <cell r="B8818">
            <v>42380</v>
          </cell>
          <cell r="C8818" t="str">
            <v>$3,268,37</v>
          </cell>
        </row>
        <row r="8819">
          <cell r="B8819">
            <v>42381</v>
          </cell>
          <cell r="C8819" t="str">
            <v>$3,268,37</v>
          </cell>
        </row>
        <row r="8820">
          <cell r="B8820">
            <v>42382</v>
          </cell>
          <cell r="C8820" t="str">
            <v>$3,246,51</v>
          </cell>
        </row>
        <row r="8821">
          <cell r="B8821">
            <v>42383</v>
          </cell>
          <cell r="C8821" t="str">
            <v>$3,235,45</v>
          </cell>
        </row>
        <row r="8822">
          <cell r="B8822">
            <v>42384</v>
          </cell>
          <cell r="C8822" t="str">
            <v>$3,240,71</v>
          </cell>
        </row>
        <row r="8823">
          <cell r="B8823">
            <v>42385</v>
          </cell>
          <cell r="C8823" t="str">
            <v>$3,293,94</v>
          </cell>
        </row>
        <row r="8824">
          <cell r="B8824">
            <v>42386</v>
          </cell>
          <cell r="C8824" t="str">
            <v>$3,293,94</v>
          </cell>
        </row>
        <row r="8825">
          <cell r="B8825">
            <v>42387</v>
          </cell>
          <cell r="C8825" t="str">
            <v>$3,293,94</v>
          </cell>
        </row>
        <row r="8826">
          <cell r="B8826">
            <v>42388</v>
          </cell>
          <cell r="C8826" t="str">
            <v>$3,293,94</v>
          </cell>
        </row>
        <row r="8827">
          <cell r="B8827">
            <v>42389</v>
          </cell>
          <cell r="C8827" t="str">
            <v>$3,297,46</v>
          </cell>
        </row>
        <row r="8828">
          <cell r="B8828">
            <v>42390</v>
          </cell>
          <cell r="C8828" t="str">
            <v>$3,357,67</v>
          </cell>
        </row>
        <row r="8829">
          <cell r="B8829">
            <v>42391</v>
          </cell>
          <cell r="C8829" t="str">
            <v>$3,368,49</v>
          </cell>
        </row>
        <row r="8830">
          <cell r="B8830">
            <v>42392</v>
          </cell>
          <cell r="C8830" t="str">
            <v>$3,281,74</v>
          </cell>
        </row>
        <row r="8831">
          <cell r="B8831">
            <v>42393</v>
          </cell>
          <cell r="C8831" t="str">
            <v>$3,281,74</v>
          </cell>
        </row>
        <row r="8832">
          <cell r="B8832">
            <v>42394</v>
          </cell>
          <cell r="C8832" t="str">
            <v>$3,281,74</v>
          </cell>
        </row>
        <row r="8833">
          <cell r="B8833">
            <v>42395</v>
          </cell>
          <cell r="C8833" t="str">
            <v>$3,362,38</v>
          </cell>
        </row>
        <row r="8834">
          <cell r="B8834">
            <v>42396</v>
          </cell>
          <cell r="C8834" t="str">
            <v>$3,375,80</v>
          </cell>
        </row>
        <row r="8835">
          <cell r="B8835">
            <v>42397</v>
          </cell>
          <cell r="C8835" t="str">
            <v>$3,366,63</v>
          </cell>
        </row>
        <row r="8836">
          <cell r="B8836">
            <v>42398</v>
          </cell>
          <cell r="C8836" t="str">
            <v>$3,302,92</v>
          </cell>
        </row>
        <row r="8837">
          <cell r="B8837">
            <v>42399</v>
          </cell>
          <cell r="C8837" t="str">
            <v>$3,287,31</v>
          </cell>
        </row>
        <row r="8838">
          <cell r="B8838">
            <v>42400</v>
          </cell>
          <cell r="C8838" t="str">
            <v>$3,287,31</v>
          </cell>
        </row>
        <row r="8839">
          <cell r="B8839">
            <v>42401</v>
          </cell>
          <cell r="C8839" t="str">
            <v>$3,287,31</v>
          </cell>
        </row>
        <row r="8840">
          <cell r="B8840">
            <v>42402</v>
          </cell>
          <cell r="C8840" t="str">
            <v>$3,326,82</v>
          </cell>
        </row>
        <row r="8841">
          <cell r="B8841">
            <v>42403</v>
          </cell>
          <cell r="C8841" t="str">
            <v>$3,387,69</v>
          </cell>
        </row>
        <row r="8842">
          <cell r="B8842">
            <v>42404</v>
          </cell>
          <cell r="C8842" t="str">
            <v>$3,382,20</v>
          </cell>
        </row>
        <row r="8843">
          <cell r="B8843">
            <v>42405</v>
          </cell>
          <cell r="C8843" t="str">
            <v>$3,315,75</v>
          </cell>
        </row>
        <row r="8844">
          <cell r="B8844">
            <v>42406</v>
          </cell>
          <cell r="C8844" t="str">
            <v>$3,320,49</v>
          </cell>
        </row>
        <row r="8845">
          <cell r="B8845">
            <v>42407</v>
          </cell>
          <cell r="C8845" t="str">
            <v>$3,320,49</v>
          </cell>
        </row>
        <row r="8846">
          <cell r="B8846">
            <v>42408</v>
          </cell>
          <cell r="C8846" t="str">
            <v>$3,320,49</v>
          </cell>
        </row>
        <row r="8847">
          <cell r="B8847">
            <v>42409</v>
          </cell>
          <cell r="C8847">
            <v>3367.02</v>
          </cell>
        </row>
        <row r="8848">
          <cell r="B8848">
            <v>42410</v>
          </cell>
          <cell r="C8848">
            <v>3391.93</v>
          </cell>
        </row>
        <row r="8849">
          <cell r="B8849">
            <v>42411</v>
          </cell>
          <cell r="C8849">
            <v>3385.65</v>
          </cell>
        </row>
        <row r="8850">
          <cell r="B8850">
            <v>42412</v>
          </cell>
          <cell r="C8850">
            <v>3434.89</v>
          </cell>
        </row>
        <row r="8851">
          <cell r="B8851">
            <v>42413</v>
          </cell>
          <cell r="C8851">
            <v>3409.82</v>
          </cell>
        </row>
        <row r="8852">
          <cell r="B8852">
            <v>42414</v>
          </cell>
          <cell r="C8852">
            <v>3409.82</v>
          </cell>
        </row>
        <row r="8853">
          <cell r="B8853">
            <v>42415</v>
          </cell>
          <cell r="C8853">
            <v>3409.82</v>
          </cell>
        </row>
        <row r="8854">
          <cell r="B8854">
            <v>42416</v>
          </cell>
          <cell r="C8854">
            <v>3409.82</v>
          </cell>
        </row>
        <row r="8855">
          <cell r="B8855">
            <v>42417</v>
          </cell>
          <cell r="C8855">
            <v>3406.87</v>
          </cell>
        </row>
        <row r="8856">
          <cell r="B8856">
            <v>42418</v>
          </cell>
          <cell r="C8856">
            <v>3391.87</v>
          </cell>
        </row>
        <row r="8857">
          <cell r="B8857">
            <v>42419</v>
          </cell>
          <cell r="C8857">
            <v>3338.03</v>
          </cell>
        </row>
        <row r="8858">
          <cell r="B8858">
            <v>42420</v>
          </cell>
          <cell r="C8858">
            <v>3356.78</v>
          </cell>
        </row>
        <row r="8859">
          <cell r="B8859">
            <v>42421</v>
          </cell>
          <cell r="C8859">
            <v>3356.78</v>
          </cell>
        </row>
        <row r="8860">
          <cell r="B8860">
            <v>42422</v>
          </cell>
          <cell r="C8860">
            <v>3356.78</v>
          </cell>
        </row>
        <row r="8861">
          <cell r="B8861">
            <v>42423</v>
          </cell>
          <cell r="C8861">
            <v>3314.24</v>
          </cell>
        </row>
        <row r="8862">
          <cell r="B8862">
            <v>42424</v>
          </cell>
          <cell r="C8862">
            <v>3322.54</v>
          </cell>
        </row>
        <row r="8863">
          <cell r="B8863">
            <v>42425</v>
          </cell>
          <cell r="C8863">
            <v>3341.69</v>
          </cell>
        </row>
        <row r="8864">
          <cell r="B8864">
            <v>42426</v>
          </cell>
          <cell r="C8864">
            <v>3310.16</v>
          </cell>
        </row>
        <row r="8865">
          <cell r="B8865">
            <v>42427</v>
          </cell>
          <cell r="C8865">
            <v>3306</v>
          </cell>
        </row>
        <row r="8866">
          <cell r="B8866">
            <v>42428</v>
          </cell>
          <cell r="C8866">
            <v>3306</v>
          </cell>
        </row>
        <row r="8867">
          <cell r="B8867">
            <v>42429</v>
          </cell>
          <cell r="C8867">
            <v>3306</v>
          </cell>
        </row>
        <row r="8868">
          <cell r="B8868">
            <v>42430</v>
          </cell>
          <cell r="C8868">
            <v>3319.8</v>
          </cell>
        </row>
        <row r="8869">
          <cell r="B8869">
            <v>42431</v>
          </cell>
          <cell r="C8869">
            <v>3268.86</v>
          </cell>
        </row>
        <row r="8870">
          <cell r="B8870">
            <v>42432</v>
          </cell>
          <cell r="C8870">
            <v>3205.6</v>
          </cell>
        </row>
        <row r="8871">
          <cell r="B8871">
            <v>42433</v>
          </cell>
          <cell r="C8871">
            <v>3203.03</v>
          </cell>
        </row>
        <row r="8872">
          <cell r="B8872">
            <v>42434</v>
          </cell>
          <cell r="C8872">
            <v>3163.25</v>
          </cell>
        </row>
        <row r="8873">
          <cell r="B8873">
            <v>42435</v>
          </cell>
          <cell r="C8873">
            <v>3163.25</v>
          </cell>
        </row>
        <row r="8874">
          <cell r="B8874">
            <v>42436</v>
          </cell>
          <cell r="C8874">
            <v>3163.25</v>
          </cell>
        </row>
        <row r="8875">
          <cell r="B8875">
            <v>42437</v>
          </cell>
          <cell r="C8875">
            <v>3135.28</v>
          </cell>
        </row>
        <row r="8876">
          <cell r="B8876">
            <v>42438</v>
          </cell>
          <cell r="C8876">
            <v>3155.9</v>
          </cell>
        </row>
        <row r="8877">
          <cell r="B8877">
            <v>42439</v>
          </cell>
          <cell r="C8877">
            <v>3192.49</v>
          </cell>
        </row>
        <row r="8878">
          <cell r="B8878">
            <v>42440</v>
          </cell>
          <cell r="C8878">
            <v>3204.27</v>
          </cell>
        </row>
        <row r="8879">
          <cell r="B8879">
            <v>42441</v>
          </cell>
          <cell r="C8879">
            <v>3164.12</v>
          </cell>
        </row>
        <row r="8880">
          <cell r="B8880">
            <v>42442</v>
          </cell>
          <cell r="C8880">
            <v>3164.12</v>
          </cell>
        </row>
        <row r="8881">
          <cell r="B8881">
            <v>42443</v>
          </cell>
          <cell r="C8881">
            <v>3164.12</v>
          </cell>
        </row>
        <row r="8882">
          <cell r="B8882">
            <v>42444</v>
          </cell>
          <cell r="C8882">
            <v>3175.95</v>
          </cell>
        </row>
        <row r="8883">
          <cell r="B8883">
            <v>42445</v>
          </cell>
          <cell r="C8883">
            <v>3175.88</v>
          </cell>
        </row>
        <row r="8884">
          <cell r="B8884">
            <v>42446</v>
          </cell>
          <cell r="C8884">
            <v>3155.9</v>
          </cell>
        </row>
        <row r="8885">
          <cell r="B8885">
            <v>42447</v>
          </cell>
          <cell r="C8885">
            <v>3087.39</v>
          </cell>
        </row>
        <row r="8886">
          <cell r="B8886">
            <v>42448</v>
          </cell>
          <cell r="C8886">
            <v>3065.79</v>
          </cell>
        </row>
        <row r="8887">
          <cell r="B8887">
            <v>42449</v>
          </cell>
          <cell r="C8887">
            <v>3065.79</v>
          </cell>
        </row>
        <row r="8888">
          <cell r="B8888">
            <v>42450</v>
          </cell>
          <cell r="C8888">
            <v>3065.79</v>
          </cell>
        </row>
        <row r="8889">
          <cell r="B8889">
            <v>42451</v>
          </cell>
          <cell r="C8889">
            <v>3065.79</v>
          </cell>
        </row>
        <row r="8890">
          <cell r="B8890">
            <v>42452</v>
          </cell>
          <cell r="C8890">
            <v>3050.31</v>
          </cell>
        </row>
        <row r="8891">
          <cell r="B8891">
            <v>42453</v>
          </cell>
          <cell r="C8891">
            <v>3058.8</v>
          </cell>
        </row>
        <row r="8892">
          <cell r="B8892">
            <v>42454</v>
          </cell>
          <cell r="C8892">
            <v>3058.8</v>
          </cell>
        </row>
        <row r="8893">
          <cell r="B8893">
            <v>42455</v>
          </cell>
          <cell r="C8893">
            <v>3058.8</v>
          </cell>
        </row>
        <row r="8894">
          <cell r="B8894">
            <v>42456</v>
          </cell>
          <cell r="C8894">
            <v>3058.8</v>
          </cell>
        </row>
        <row r="8895">
          <cell r="B8895">
            <v>42457</v>
          </cell>
          <cell r="C8895">
            <v>3058.8</v>
          </cell>
        </row>
        <row r="8896">
          <cell r="B8896">
            <v>42458</v>
          </cell>
          <cell r="C8896">
            <v>3047.85</v>
          </cell>
        </row>
        <row r="8897">
          <cell r="B8897">
            <v>42459</v>
          </cell>
          <cell r="C8897">
            <v>3052.33</v>
          </cell>
        </row>
        <row r="8898">
          <cell r="B8898">
            <v>42460</v>
          </cell>
          <cell r="C8898">
            <v>3022.35</v>
          </cell>
        </row>
        <row r="8899">
          <cell r="B8899">
            <v>42461</v>
          </cell>
          <cell r="C8899">
            <v>3000.63</v>
          </cell>
        </row>
        <row r="8900">
          <cell r="B8900">
            <v>42462</v>
          </cell>
          <cell r="C8900">
            <v>3038.48</v>
          </cell>
        </row>
        <row r="8901">
          <cell r="B8901">
            <v>42463</v>
          </cell>
          <cell r="C8901">
            <v>3038.48</v>
          </cell>
        </row>
        <row r="8902">
          <cell r="B8902">
            <v>42464</v>
          </cell>
          <cell r="C8902">
            <v>3038.48</v>
          </cell>
        </row>
        <row r="8903">
          <cell r="B8903">
            <v>42465</v>
          </cell>
          <cell r="C8903">
            <v>3066.94</v>
          </cell>
        </row>
        <row r="8904">
          <cell r="B8904">
            <v>42466</v>
          </cell>
          <cell r="C8904">
            <v>3085.82</v>
          </cell>
        </row>
        <row r="8905">
          <cell r="B8905">
            <v>42467</v>
          </cell>
          <cell r="C8905">
            <v>3081.39</v>
          </cell>
        </row>
        <row r="8906">
          <cell r="B8906">
            <v>42468</v>
          </cell>
          <cell r="C8906">
            <v>3109.6</v>
          </cell>
        </row>
        <row r="8907">
          <cell r="B8907">
            <v>42469</v>
          </cell>
          <cell r="C8907">
            <v>3076.29</v>
          </cell>
        </row>
        <row r="8908">
          <cell r="B8908">
            <v>42470</v>
          </cell>
          <cell r="C8908">
            <v>3076.29</v>
          </cell>
        </row>
        <row r="8909">
          <cell r="B8909">
            <v>42471</v>
          </cell>
          <cell r="C8909">
            <v>3076.29</v>
          </cell>
        </row>
        <row r="8910">
          <cell r="B8910">
            <v>42472</v>
          </cell>
          <cell r="C8910">
            <v>3057.96</v>
          </cell>
        </row>
        <row r="8911">
          <cell r="B8911">
            <v>42473</v>
          </cell>
          <cell r="C8911">
            <v>3036.57</v>
          </cell>
        </row>
        <row r="8912">
          <cell r="B8912">
            <v>42474</v>
          </cell>
          <cell r="C8912">
            <v>3006.35</v>
          </cell>
        </row>
        <row r="8913">
          <cell r="B8913">
            <v>42475</v>
          </cell>
          <cell r="C8913">
            <v>3000.78</v>
          </cell>
        </row>
        <row r="8914">
          <cell r="B8914">
            <v>42476</v>
          </cell>
          <cell r="C8914">
            <v>2999.38</v>
          </cell>
        </row>
        <row r="8915">
          <cell r="B8915">
            <v>42477</v>
          </cell>
          <cell r="C8915">
            <v>2999.38</v>
          </cell>
        </row>
        <row r="8916">
          <cell r="B8916">
            <v>42478</v>
          </cell>
          <cell r="C8916">
            <v>2999.38</v>
          </cell>
        </row>
        <row r="8917">
          <cell r="B8917">
            <v>42479</v>
          </cell>
          <cell r="C8917">
            <v>2995.86</v>
          </cell>
        </row>
        <row r="8918">
          <cell r="B8918">
            <v>42480</v>
          </cell>
          <cell r="C8918">
            <v>2912.2</v>
          </cell>
        </row>
        <row r="8919">
          <cell r="B8919">
            <v>42481</v>
          </cell>
          <cell r="C8919">
            <v>2899.92</v>
          </cell>
        </row>
        <row r="8920">
          <cell r="B8920">
            <v>42482</v>
          </cell>
          <cell r="C8920">
            <v>2928.7</v>
          </cell>
        </row>
        <row r="8921">
          <cell r="B8921">
            <v>42483</v>
          </cell>
          <cell r="C8921">
            <v>2939.7</v>
          </cell>
        </row>
        <row r="8922">
          <cell r="B8922">
            <v>42484</v>
          </cell>
          <cell r="C8922">
            <v>2939.7</v>
          </cell>
        </row>
        <row r="8923">
          <cell r="B8923">
            <v>42485</v>
          </cell>
          <cell r="C8923">
            <v>2939.7</v>
          </cell>
        </row>
        <row r="8924">
          <cell r="B8924">
            <v>42486</v>
          </cell>
          <cell r="C8924">
            <v>2962.08</v>
          </cell>
        </row>
        <row r="8925">
          <cell r="B8925">
            <v>42487</v>
          </cell>
          <cell r="C8925">
            <v>2945.37</v>
          </cell>
        </row>
        <row r="8926">
          <cell r="B8926">
            <v>42488</v>
          </cell>
          <cell r="C8926">
            <v>2943.23</v>
          </cell>
        </row>
        <row r="8927">
          <cell r="B8927">
            <v>42489</v>
          </cell>
          <cell r="C8927">
            <v>2885.72</v>
          </cell>
        </row>
        <row r="8928">
          <cell r="B8928">
            <v>42490</v>
          </cell>
          <cell r="C8928">
            <v>2851.14</v>
          </cell>
        </row>
        <row r="8929">
          <cell r="B8929">
            <v>42491</v>
          </cell>
          <cell r="C8929">
            <v>2851.14</v>
          </cell>
        </row>
        <row r="8930">
          <cell r="B8930">
            <v>42492</v>
          </cell>
          <cell r="C8930">
            <v>2851.14</v>
          </cell>
        </row>
        <row r="8931">
          <cell r="B8931">
            <v>42493</v>
          </cell>
          <cell r="C8931">
            <v>2833.78</v>
          </cell>
        </row>
        <row r="8932">
          <cell r="B8932">
            <v>42494</v>
          </cell>
          <cell r="C8932">
            <v>2895.51</v>
          </cell>
        </row>
        <row r="8933">
          <cell r="B8933">
            <v>42495</v>
          </cell>
          <cell r="C8933">
            <v>2942.16</v>
          </cell>
        </row>
        <row r="8934">
          <cell r="B8934">
            <v>42496</v>
          </cell>
          <cell r="C8934">
            <v>2952.37</v>
          </cell>
        </row>
        <row r="8935">
          <cell r="B8935">
            <v>42497</v>
          </cell>
          <cell r="C8935">
            <v>2969.62</v>
          </cell>
        </row>
        <row r="8936">
          <cell r="B8936">
            <v>42498</v>
          </cell>
          <cell r="C8936">
            <v>2969.62</v>
          </cell>
        </row>
        <row r="8937">
          <cell r="B8937">
            <v>42499</v>
          </cell>
          <cell r="C8937">
            <v>2969.62</v>
          </cell>
        </row>
        <row r="8938">
          <cell r="B8938">
            <v>42500</v>
          </cell>
          <cell r="C8938">
            <v>2969.62</v>
          </cell>
        </row>
        <row r="8939">
          <cell r="B8939">
            <v>42501</v>
          </cell>
          <cell r="C8939">
            <v>2979.54</v>
          </cell>
        </row>
        <row r="8940">
          <cell r="B8940">
            <v>42502</v>
          </cell>
          <cell r="C8940" t="str">
            <v>$2,956,82</v>
          </cell>
        </row>
        <row r="8941">
          <cell r="B8941">
            <v>42503</v>
          </cell>
          <cell r="C8941" t="str">
            <v>$2,934,88</v>
          </cell>
        </row>
        <row r="8942">
          <cell r="B8942">
            <v>42504</v>
          </cell>
          <cell r="C8942" t="str">
            <v>$2,983,82</v>
          </cell>
        </row>
        <row r="8943">
          <cell r="B8943">
            <v>42505</v>
          </cell>
          <cell r="C8943" t="str">
            <v>$2,983,82</v>
          </cell>
        </row>
        <row r="8944">
          <cell r="B8944">
            <v>42506</v>
          </cell>
          <cell r="C8944" t="str">
            <v>$2,983,82</v>
          </cell>
        </row>
        <row r="8945">
          <cell r="B8945">
            <v>42507</v>
          </cell>
          <cell r="C8945" t="str">
            <v>$3,007,74</v>
          </cell>
        </row>
        <row r="8946">
          <cell r="B8946">
            <v>42508</v>
          </cell>
          <cell r="C8946" t="str">
            <v>$3,020,89</v>
          </cell>
        </row>
        <row r="8947">
          <cell r="B8947">
            <v>42509</v>
          </cell>
          <cell r="C8947" t="str">
            <v>$3,031,48</v>
          </cell>
        </row>
        <row r="8948">
          <cell r="B8948">
            <v>42510</v>
          </cell>
          <cell r="C8948" t="str">
            <v>$3,056,06</v>
          </cell>
        </row>
        <row r="8949">
          <cell r="B8949">
            <v>42511</v>
          </cell>
          <cell r="C8949" t="str">
            <v>$3,047,99</v>
          </cell>
        </row>
        <row r="8950">
          <cell r="B8950">
            <v>42512</v>
          </cell>
          <cell r="C8950" t="str">
            <v>$3,047,99</v>
          </cell>
        </row>
        <row r="8951">
          <cell r="B8951">
            <v>42513</v>
          </cell>
          <cell r="C8951" t="str">
            <v>$3,047,99</v>
          </cell>
        </row>
        <row r="8952">
          <cell r="B8952">
            <v>42514</v>
          </cell>
          <cell r="C8952" t="str">
            <v>$3,058,25</v>
          </cell>
        </row>
        <row r="8953">
          <cell r="B8953">
            <v>42515</v>
          </cell>
          <cell r="C8953" t="str">
            <v>$3,059,92</v>
          </cell>
        </row>
        <row r="8954">
          <cell r="B8954">
            <v>42516</v>
          </cell>
          <cell r="C8954" t="str">
            <v>$3,061,89</v>
          </cell>
        </row>
        <row r="8955">
          <cell r="B8955">
            <v>42517</v>
          </cell>
          <cell r="C8955" t="str">
            <v>$3,054,60</v>
          </cell>
        </row>
        <row r="8956">
          <cell r="B8956">
            <v>42518</v>
          </cell>
          <cell r="C8956" t="str">
            <v>$3,069,17</v>
          </cell>
        </row>
        <row r="8957">
          <cell r="B8957">
            <v>42519</v>
          </cell>
          <cell r="C8957" t="str">
            <v>$3,069,17</v>
          </cell>
        </row>
        <row r="8958">
          <cell r="B8958">
            <v>42520</v>
          </cell>
          <cell r="C8958" t="str">
            <v>$3,069,17</v>
          </cell>
        </row>
        <row r="8959">
          <cell r="B8959">
            <v>42521</v>
          </cell>
          <cell r="C8959" t="str">
            <v>$3,069,17</v>
          </cell>
        </row>
        <row r="8960">
          <cell r="B8960">
            <v>42522</v>
          </cell>
          <cell r="C8960" t="str">
            <v>$3,089,65</v>
          </cell>
        </row>
        <row r="8961">
          <cell r="B8961">
            <v>42523</v>
          </cell>
          <cell r="C8961" t="str">
            <v>$3,117,83</v>
          </cell>
        </row>
        <row r="8962">
          <cell r="B8962">
            <v>42524</v>
          </cell>
          <cell r="C8962" t="str">
            <v>$3,110,88</v>
          </cell>
        </row>
        <row r="8963">
          <cell r="B8963">
            <v>42525</v>
          </cell>
          <cell r="C8963" t="str">
            <v>$3,017,71</v>
          </cell>
        </row>
        <row r="8964">
          <cell r="B8964">
            <v>42526</v>
          </cell>
          <cell r="C8964" t="str">
            <v>$3,017,71</v>
          </cell>
        </row>
        <row r="8965">
          <cell r="B8965">
            <v>42527</v>
          </cell>
          <cell r="C8965" t="str">
            <v>$3,017,71</v>
          </cell>
        </row>
        <row r="8966">
          <cell r="B8966">
            <v>42528</v>
          </cell>
          <cell r="C8966" t="str">
            <v>$3,017,71</v>
          </cell>
        </row>
        <row r="8967">
          <cell r="B8967">
            <v>42529</v>
          </cell>
          <cell r="C8967" t="str">
            <v>$2,950,95</v>
          </cell>
        </row>
        <row r="8968">
          <cell r="B8968">
            <v>42530</v>
          </cell>
          <cell r="C8968" t="str">
            <v>$2,905,23</v>
          </cell>
        </row>
        <row r="8969">
          <cell r="B8969">
            <v>42531</v>
          </cell>
          <cell r="C8969" t="str">
            <v>$2,942,13</v>
          </cell>
        </row>
        <row r="8970">
          <cell r="B8970">
            <v>42532</v>
          </cell>
          <cell r="C8970" t="str">
            <v>$2,969,83</v>
          </cell>
        </row>
        <row r="8971">
          <cell r="B8971">
            <v>42533</v>
          </cell>
          <cell r="C8971" t="str">
            <v>$2,969,83</v>
          </cell>
        </row>
        <row r="8972">
          <cell r="B8972">
            <v>42534</v>
          </cell>
          <cell r="C8972" t="str">
            <v>$2,969,83</v>
          </cell>
        </row>
        <row r="8973">
          <cell r="B8973">
            <v>42535</v>
          </cell>
          <cell r="C8973" t="str">
            <v>$2,990,35</v>
          </cell>
        </row>
        <row r="8974">
          <cell r="B8974">
            <v>42536</v>
          </cell>
          <cell r="C8974" t="str">
            <v>$3,003,28</v>
          </cell>
        </row>
        <row r="8975">
          <cell r="B8975">
            <v>42537</v>
          </cell>
          <cell r="C8975" t="str">
            <v>$2,989,56</v>
          </cell>
        </row>
        <row r="8976">
          <cell r="B8976">
            <v>42538</v>
          </cell>
          <cell r="C8976" t="str">
            <v>$3,019,12</v>
          </cell>
        </row>
        <row r="8977">
          <cell r="B8977">
            <v>42539</v>
          </cell>
          <cell r="C8977" t="str">
            <v>$3,010,91</v>
          </cell>
        </row>
        <row r="8978">
          <cell r="B8978">
            <v>42540</v>
          </cell>
          <cell r="C8978" t="str">
            <v>$3,010,91</v>
          </cell>
        </row>
        <row r="8979">
          <cell r="B8979">
            <v>42541</v>
          </cell>
          <cell r="C8979" t="str">
            <v>$3,010,91</v>
          </cell>
        </row>
        <row r="8980">
          <cell r="B8980">
            <v>42542</v>
          </cell>
          <cell r="C8980">
            <v>2972.97</v>
          </cell>
        </row>
        <row r="8981">
          <cell r="B8981">
            <v>42543</v>
          </cell>
          <cell r="C8981">
            <v>2976.29</v>
          </cell>
        </row>
        <row r="8982">
          <cell r="B8982">
            <v>42544</v>
          </cell>
          <cell r="C8982">
            <v>2944.06</v>
          </cell>
        </row>
        <row r="8983">
          <cell r="B8983">
            <v>42545</v>
          </cell>
          <cell r="C8983">
            <v>2897.53</v>
          </cell>
        </row>
        <row r="8984">
          <cell r="B8984">
            <v>42546</v>
          </cell>
          <cell r="C8984">
            <v>2972.92</v>
          </cell>
        </row>
        <row r="8985">
          <cell r="B8985">
            <v>42547</v>
          </cell>
          <cell r="C8985">
            <v>2972.92</v>
          </cell>
        </row>
        <row r="8986">
          <cell r="B8986">
            <v>42548</v>
          </cell>
          <cell r="C8986">
            <v>2972.92</v>
          </cell>
        </row>
        <row r="8987">
          <cell r="B8987">
            <v>42549</v>
          </cell>
          <cell r="C8987">
            <v>3022.78</v>
          </cell>
        </row>
        <row r="8988">
          <cell r="B8988">
            <v>42550</v>
          </cell>
          <cell r="C8988">
            <v>3005.18</v>
          </cell>
        </row>
        <row r="8989">
          <cell r="B8989">
            <v>42551</v>
          </cell>
          <cell r="C8989">
            <v>2916.15</v>
          </cell>
        </row>
        <row r="8990">
          <cell r="B8990">
            <v>42552</v>
          </cell>
          <cell r="C8990">
            <v>2919.01</v>
          </cell>
        </row>
        <row r="8991">
          <cell r="B8991">
            <v>42553</v>
          </cell>
          <cell r="C8991">
            <v>2914.38</v>
          </cell>
        </row>
        <row r="8992">
          <cell r="B8992">
            <v>42554</v>
          </cell>
          <cell r="C8992">
            <v>2914.38</v>
          </cell>
        </row>
        <row r="8993">
          <cell r="B8993">
            <v>42555</v>
          </cell>
          <cell r="C8993">
            <v>2914.38</v>
          </cell>
        </row>
        <row r="8994">
          <cell r="B8994">
            <v>42556</v>
          </cell>
          <cell r="C8994">
            <v>2914.38</v>
          </cell>
        </row>
        <row r="8995">
          <cell r="B8995">
            <v>42557</v>
          </cell>
          <cell r="C8995">
            <v>2966.87</v>
          </cell>
        </row>
        <row r="8996">
          <cell r="B8996">
            <v>42558</v>
          </cell>
          <cell r="C8996">
            <v>3003.2</v>
          </cell>
        </row>
        <row r="8997">
          <cell r="B8997">
            <v>42559</v>
          </cell>
          <cell r="C8997">
            <v>2986.49</v>
          </cell>
        </row>
        <row r="8998">
          <cell r="B8998">
            <v>42560</v>
          </cell>
          <cell r="C8998">
            <v>2952.64</v>
          </cell>
        </row>
        <row r="8999">
          <cell r="B8999">
            <v>42561</v>
          </cell>
          <cell r="C8999">
            <v>2952.64</v>
          </cell>
        </row>
        <row r="9000">
          <cell r="B9000">
            <v>42562</v>
          </cell>
          <cell r="C9000">
            <v>2952.64</v>
          </cell>
        </row>
        <row r="9001">
          <cell r="B9001">
            <v>42563</v>
          </cell>
          <cell r="C9001">
            <v>2929.81</v>
          </cell>
        </row>
        <row r="9002">
          <cell r="B9002">
            <v>42564</v>
          </cell>
          <cell r="C9002">
            <v>2911.91</v>
          </cell>
        </row>
        <row r="9003">
          <cell r="B9003">
            <v>42565</v>
          </cell>
          <cell r="C9003">
            <v>2936.53</v>
          </cell>
        </row>
        <row r="9004">
          <cell r="B9004">
            <v>42566</v>
          </cell>
          <cell r="C9004">
            <v>2923.07</v>
          </cell>
        </row>
        <row r="9005">
          <cell r="B9005">
            <v>42567</v>
          </cell>
          <cell r="C9005">
            <v>2923.46</v>
          </cell>
        </row>
        <row r="9006">
          <cell r="B9006">
            <v>42568</v>
          </cell>
          <cell r="C9006">
            <v>2923.46</v>
          </cell>
        </row>
        <row r="9007">
          <cell r="B9007">
            <v>42569</v>
          </cell>
          <cell r="C9007">
            <v>2923.46</v>
          </cell>
        </row>
        <row r="9008">
          <cell r="B9008">
            <v>42570</v>
          </cell>
          <cell r="C9008">
            <v>2928.3</v>
          </cell>
        </row>
        <row r="9009">
          <cell r="B9009">
            <v>42571</v>
          </cell>
          <cell r="C9009">
            <v>2931.08</v>
          </cell>
        </row>
        <row r="9010">
          <cell r="B9010">
            <v>42572</v>
          </cell>
          <cell r="C9010">
            <v>2931.08</v>
          </cell>
        </row>
        <row r="9011">
          <cell r="B9011">
            <v>42573</v>
          </cell>
          <cell r="C9011">
            <v>2928.67</v>
          </cell>
        </row>
        <row r="9012">
          <cell r="B9012">
            <v>42574</v>
          </cell>
          <cell r="C9012">
            <v>2942.65</v>
          </cell>
        </row>
        <row r="9013">
          <cell r="B9013">
            <v>42575</v>
          </cell>
          <cell r="C9013">
            <v>2942.65</v>
          </cell>
        </row>
        <row r="9014">
          <cell r="B9014">
            <v>42576</v>
          </cell>
          <cell r="C9014">
            <v>2942.65</v>
          </cell>
        </row>
        <row r="9015">
          <cell r="B9015">
            <v>42577</v>
          </cell>
          <cell r="C9015">
            <v>2997.25</v>
          </cell>
        </row>
        <row r="9016">
          <cell r="B9016">
            <v>42578</v>
          </cell>
          <cell r="C9016">
            <v>3055.15</v>
          </cell>
        </row>
        <row r="9017">
          <cell r="B9017">
            <v>42579</v>
          </cell>
          <cell r="C9017">
            <v>3073.52</v>
          </cell>
        </row>
        <row r="9018">
          <cell r="B9018">
            <v>42580</v>
          </cell>
          <cell r="C9018">
            <v>3091.78</v>
          </cell>
        </row>
        <row r="9019">
          <cell r="B9019">
            <v>42581</v>
          </cell>
          <cell r="C9019">
            <v>3081.75</v>
          </cell>
        </row>
        <row r="9020">
          <cell r="B9020">
            <v>42582</v>
          </cell>
          <cell r="C9020">
            <v>3081.75</v>
          </cell>
        </row>
        <row r="9021">
          <cell r="B9021">
            <v>42583</v>
          </cell>
          <cell r="C9021">
            <v>3081.75</v>
          </cell>
        </row>
        <row r="9022">
          <cell r="B9022">
            <v>42584</v>
          </cell>
          <cell r="C9022">
            <v>3090.28</v>
          </cell>
        </row>
        <row r="9023">
          <cell r="B9023">
            <v>42585</v>
          </cell>
          <cell r="C9023">
            <v>3084.81</v>
          </cell>
        </row>
        <row r="9024">
          <cell r="B9024">
            <v>42586</v>
          </cell>
          <cell r="C9024">
            <v>3110.43</v>
          </cell>
        </row>
        <row r="9025">
          <cell r="B9025">
            <v>42587</v>
          </cell>
          <cell r="C9025">
            <v>3079.83</v>
          </cell>
        </row>
        <row r="9026">
          <cell r="B9026">
            <v>42588</v>
          </cell>
          <cell r="C9026">
            <v>3052.8</v>
          </cell>
        </row>
        <row r="9027">
          <cell r="B9027">
            <v>42589</v>
          </cell>
          <cell r="C9027">
            <v>3052.8</v>
          </cell>
        </row>
        <row r="9028">
          <cell r="B9028">
            <v>42590</v>
          </cell>
          <cell r="C9028">
            <v>3052.8</v>
          </cell>
        </row>
        <row r="9029">
          <cell r="B9029">
            <v>42591</v>
          </cell>
          <cell r="C9029">
            <v>2992.5</v>
          </cell>
        </row>
        <row r="9030">
          <cell r="B9030">
            <v>42592</v>
          </cell>
          <cell r="C9030">
            <v>2974.31</v>
          </cell>
        </row>
        <row r="9031">
          <cell r="B9031">
            <v>42593</v>
          </cell>
          <cell r="C9031">
            <v>2954.9</v>
          </cell>
        </row>
        <row r="9032">
          <cell r="B9032">
            <v>42594</v>
          </cell>
          <cell r="C9032">
            <v>2911.26</v>
          </cell>
        </row>
        <row r="9033">
          <cell r="B9033">
            <v>42595</v>
          </cell>
          <cell r="C9033">
            <v>2908.67</v>
          </cell>
        </row>
        <row r="9034">
          <cell r="B9034">
            <v>42596</v>
          </cell>
          <cell r="C9034">
            <v>2908.67</v>
          </cell>
        </row>
        <row r="9035">
          <cell r="B9035">
            <v>42597</v>
          </cell>
          <cell r="C9035">
            <v>2908.67</v>
          </cell>
        </row>
        <row r="9036">
          <cell r="B9036">
            <v>42598</v>
          </cell>
          <cell r="C9036">
            <v>2908.67</v>
          </cell>
        </row>
        <row r="9037">
          <cell r="B9037">
            <v>42599</v>
          </cell>
          <cell r="C9037">
            <v>2905.3</v>
          </cell>
        </row>
        <row r="9038">
          <cell r="B9038">
            <v>42600</v>
          </cell>
          <cell r="C9038">
            <v>2918.07</v>
          </cell>
        </row>
        <row r="9039">
          <cell r="B9039">
            <v>42601</v>
          </cell>
          <cell r="C9039">
            <v>2884.02</v>
          </cell>
        </row>
        <row r="9040">
          <cell r="B9040">
            <v>42602</v>
          </cell>
          <cell r="C9040">
            <v>2867.37</v>
          </cell>
        </row>
        <row r="9041">
          <cell r="B9041">
            <v>42603</v>
          </cell>
          <cell r="C9041">
            <v>2867.37</v>
          </cell>
        </row>
        <row r="9042">
          <cell r="B9042">
            <v>42604</v>
          </cell>
          <cell r="C9042">
            <v>2867.37</v>
          </cell>
        </row>
        <row r="9043">
          <cell r="B9043">
            <v>42605</v>
          </cell>
          <cell r="C9043">
            <v>2883.89</v>
          </cell>
        </row>
        <row r="9044">
          <cell r="B9044">
            <v>42606</v>
          </cell>
          <cell r="C9044">
            <v>2909.1</v>
          </cell>
        </row>
        <row r="9045">
          <cell r="B9045">
            <v>42607</v>
          </cell>
          <cell r="C9045">
            <v>2938.28</v>
          </cell>
        </row>
        <row r="9046">
          <cell r="B9046">
            <v>42608</v>
          </cell>
          <cell r="C9046">
            <v>2915.67</v>
          </cell>
        </row>
        <row r="9047">
          <cell r="B9047">
            <v>42609</v>
          </cell>
          <cell r="C9047">
            <v>2882.69</v>
          </cell>
        </row>
        <row r="9048">
          <cell r="B9048">
            <v>42610</v>
          </cell>
          <cell r="C9048">
            <v>2882.69</v>
          </cell>
        </row>
        <row r="9049">
          <cell r="B9049">
            <v>42611</v>
          </cell>
          <cell r="C9049">
            <v>2882.69</v>
          </cell>
        </row>
        <row r="9050">
          <cell r="B9050">
            <v>42612</v>
          </cell>
          <cell r="C9050" t="str">
            <v>$2,924.29</v>
          </cell>
        </row>
        <row r="9051">
          <cell r="B9051">
            <v>42613</v>
          </cell>
          <cell r="C9051" t="str">
            <v>$2,933.82</v>
          </cell>
        </row>
        <row r="9052">
          <cell r="B9052">
            <v>42614</v>
          </cell>
          <cell r="C9052" t="str">
            <v>$2,956.53</v>
          </cell>
        </row>
        <row r="9053">
          <cell r="B9053">
            <v>42615</v>
          </cell>
          <cell r="C9053" t="str">
            <v>$2,986.36</v>
          </cell>
        </row>
        <row r="9054">
          <cell r="B9054">
            <v>42616</v>
          </cell>
          <cell r="C9054" t="str">
            <v>$2,957.56</v>
          </cell>
        </row>
        <row r="9055">
          <cell r="B9055">
            <v>42617</v>
          </cell>
          <cell r="C9055" t="str">
            <v>$2,957.56</v>
          </cell>
        </row>
        <row r="9056">
          <cell r="B9056">
            <v>42618</v>
          </cell>
          <cell r="C9056" t="str">
            <v>$2,957.56</v>
          </cell>
        </row>
        <row r="9057">
          <cell r="B9057">
            <v>42619</v>
          </cell>
          <cell r="C9057" t="str">
            <v>$2,957.56</v>
          </cell>
        </row>
        <row r="9058">
          <cell r="B9058">
            <v>42620</v>
          </cell>
          <cell r="C9058" t="str">
            <v>$2,887.64</v>
          </cell>
        </row>
        <row r="9059">
          <cell r="B9059">
            <v>42621</v>
          </cell>
          <cell r="C9059" t="str">
            <v>$2,840.38</v>
          </cell>
        </row>
        <row r="9060">
          <cell r="B9060">
            <v>42622</v>
          </cell>
          <cell r="C9060" t="str">
            <v>$2,846.13</v>
          </cell>
        </row>
        <row r="9061">
          <cell r="B9061">
            <v>42623</v>
          </cell>
          <cell r="C9061" t="str">
            <v>$2,899.29</v>
          </cell>
        </row>
        <row r="9062">
          <cell r="B9062">
            <v>42624</v>
          </cell>
          <cell r="C9062" t="str">
            <v>$2,899.29</v>
          </cell>
        </row>
        <row r="9063">
          <cell r="B9063">
            <v>42625</v>
          </cell>
          <cell r="C9063" t="str">
            <v>$2,899.29</v>
          </cell>
        </row>
        <row r="9064">
          <cell r="B9064">
            <v>42626</v>
          </cell>
          <cell r="C9064" t="str">
            <v>$2,942.29</v>
          </cell>
        </row>
        <row r="9065">
          <cell r="B9065">
            <v>42627</v>
          </cell>
          <cell r="C9065" t="str">
            <v>$2,976.19</v>
          </cell>
        </row>
        <row r="9066">
          <cell r="B9066">
            <v>42628</v>
          </cell>
          <cell r="C9066">
            <v>2972.65</v>
          </cell>
        </row>
        <row r="9067">
          <cell r="B9067">
            <v>42629</v>
          </cell>
          <cell r="C9067">
            <v>2938.5</v>
          </cell>
        </row>
        <row r="9068">
          <cell r="B9068">
            <v>42630</v>
          </cell>
          <cell r="C9068">
            <v>2956.58</v>
          </cell>
        </row>
        <row r="9069">
          <cell r="B9069">
            <v>42631</v>
          </cell>
          <cell r="C9069">
            <v>2956.58</v>
          </cell>
        </row>
        <row r="9070">
          <cell r="B9070">
            <v>42632</v>
          </cell>
          <cell r="C9070">
            <v>2956.58</v>
          </cell>
        </row>
        <row r="9071">
          <cell r="B9071">
            <v>42633</v>
          </cell>
          <cell r="C9071">
            <v>2928.18</v>
          </cell>
        </row>
        <row r="9072">
          <cell r="B9072">
            <v>42634</v>
          </cell>
          <cell r="C9072">
            <v>2911.11</v>
          </cell>
        </row>
        <row r="9073">
          <cell r="B9073">
            <v>42635</v>
          </cell>
          <cell r="C9073">
            <v>2894.15</v>
          </cell>
        </row>
        <row r="9074">
          <cell r="B9074">
            <v>42636</v>
          </cell>
          <cell r="C9074">
            <v>2862.52</v>
          </cell>
        </row>
        <row r="9075">
          <cell r="B9075">
            <v>42637</v>
          </cell>
          <cell r="C9075">
            <v>2917.95</v>
          </cell>
        </row>
        <row r="9076">
          <cell r="B9076">
            <v>42638</v>
          </cell>
          <cell r="C9076">
            <v>2917.95</v>
          </cell>
        </row>
        <row r="9077">
          <cell r="B9077">
            <v>42639</v>
          </cell>
          <cell r="C9077">
            <v>2917.95</v>
          </cell>
        </row>
        <row r="9078">
          <cell r="B9078">
            <v>42640</v>
          </cell>
          <cell r="C9078">
            <v>2917.58</v>
          </cell>
        </row>
        <row r="9079">
          <cell r="B9079">
            <v>42641</v>
          </cell>
          <cell r="C9079">
            <v>2921.99</v>
          </cell>
        </row>
        <row r="9080">
          <cell r="B9080">
            <v>42642</v>
          </cell>
          <cell r="C9080">
            <v>2914.11</v>
          </cell>
        </row>
        <row r="9081">
          <cell r="B9081">
            <v>42643</v>
          </cell>
          <cell r="C9081">
            <v>2879.95</v>
          </cell>
        </row>
        <row r="9082">
          <cell r="B9082">
            <v>42644</v>
          </cell>
          <cell r="C9082">
            <v>2880.08</v>
          </cell>
        </row>
        <row r="9083">
          <cell r="B9083">
            <v>42645</v>
          </cell>
          <cell r="C9083">
            <v>2880.08</v>
          </cell>
        </row>
        <row r="9084">
          <cell r="B9084">
            <v>42646</v>
          </cell>
          <cell r="C9084">
            <v>2880.08</v>
          </cell>
        </row>
        <row r="9085">
          <cell r="B9085">
            <v>42647</v>
          </cell>
          <cell r="C9085">
            <v>2937.23</v>
          </cell>
        </row>
        <row r="9086">
          <cell r="B9086">
            <v>42648</v>
          </cell>
          <cell r="C9086">
            <v>2963.06</v>
          </cell>
        </row>
        <row r="9087">
          <cell r="B9087">
            <v>42649</v>
          </cell>
          <cell r="C9087">
            <v>2964.93</v>
          </cell>
        </row>
        <row r="9088">
          <cell r="B9088">
            <v>42650</v>
          </cell>
          <cell r="C9088">
            <v>2924.8</v>
          </cell>
        </row>
        <row r="9089">
          <cell r="B9089">
            <v>42651</v>
          </cell>
          <cell r="C9089">
            <v>2913.96</v>
          </cell>
        </row>
        <row r="9090">
          <cell r="B9090">
            <v>42652</v>
          </cell>
          <cell r="C9090">
            <v>2913.96</v>
          </cell>
        </row>
        <row r="9091">
          <cell r="B9091">
            <v>42653</v>
          </cell>
          <cell r="C9091">
            <v>2913.96</v>
          </cell>
        </row>
        <row r="9092">
          <cell r="B9092">
            <v>42654</v>
          </cell>
          <cell r="C9092">
            <v>2913.96</v>
          </cell>
        </row>
        <row r="9093">
          <cell r="B9093">
            <v>42655</v>
          </cell>
          <cell r="C9093">
            <v>2919.51</v>
          </cell>
        </row>
        <row r="9094">
          <cell r="B9094">
            <v>42656</v>
          </cell>
          <cell r="C9094">
            <v>2919.18</v>
          </cell>
        </row>
        <row r="9095">
          <cell r="B9095">
            <v>42657</v>
          </cell>
          <cell r="C9095">
            <v>2930.78</v>
          </cell>
        </row>
        <row r="9096">
          <cell r="B9096">
            <v>42658</v>
          </cell>
          <cell r="C9096">
            <v>2915.67</v>
          </cell>
        </row>
        <row r="9097">
          <cell r="B9097">
            <v>42659</v>
          </cell>
          <cell r="C9097">
            <v>2915.67</v>
          </cell>
        </row>
        <row r="9098">
          <cell r="B9098">
            <v>42660</v>
          </cell>
          <cell r="C9098">
            <v>2915.67</v>
          </cell>
        </row>
        <row r="9099">
          <cell r="B9099">
            <v>42661</v>
          </cell>
          <cell r="C9099">
            <v>2915.67</v>
          </cell>
        </row>
        <row r="9100">
          <cell r="B9100">
            <v>42662</v>
          </cell>
          <cell r="C9100">
            <v>2905.93</v>
          </cell>
        </row>
        <row r="9101">
          <cell r="B9101">
            <v>42663</v>
          </cell>
          <cell r="C9101">
            <v>2914.15</v>
          </cell>
        </row>
        <row r="9102">
          <cell r="B9102">
            <v>42664</v>
          </cell>
          <cell r="C9102">
            <v>2934.03</v>
          </cell>
        </row>
        <row r="9103">
          <cell r="B9103">
            <v>42665</v>
          </cell>
          <cell r="C9103">
            <v>2944.25</v>
          </cell>
        </row>
        <row r="9104">
          <cell r="B9104">
            <v>42666</v>
          </cell>
          <cell r="C9104">
            <v>2944.25</v>
          </cell>
        </row>
        <row r="9105">
          <cell r="B9105">
            <v>42667</v>
          </cell>
          <cell r="C9105">
            <v>2944.25</v>
          </cell>
        </row>
        <row r="9106">
          <cell r="B9106">
            <v>42668</v>
          </cell>
          <cell r="C9106">
            <v>2929.83</v>
          </cell>
        </row>
        <row r="9107">
          <cell r="B9107">
            <v>42669</v>
          </cell>
          <cell r="C9107">
            <v>2941.34</v>
          </cell>
        </row>
        <row r="9108">
          <cell r="B9108">
            <v>42670</v>
          </cell>
          <cell r="C9108">
            <v>2965.18</v>
          </cell>
        </row>
        <row r="9109">
          <cell r="B9109">
            <v>42671</v>
          </cell>
          <cell r="C9109">
            <v>2966.61</v>
          </cell>
        </row>
        <row r="9110">
          <cell r="B9110">
            <v>42672</v>
          </cell>
          <cell r="C9110">
            <v>2967.66</v>
          </cell>
        </row>
        <row r="9111">
          <cell r="B9111">
            <v>42673</v>
          </cell>
          <cell r="C9111">
            <v>2967.66</v>
          </cell>
        </row>
        <row r="9112">
          <cell r="B9112">
            <v>42674</v>
          </cell>
          <cell r="C9112">
            <v>2967.66</v>
          </cell>
        </row>
        <row r="9113">
          <cell r="B9113">
            <v>42675</v>
          </cell>
          <cell r="C9113">
            <v>2998.55</v>
          </cell>
        </row>
        <row r="9114">
          <cell r="B9114">
            <v>42676</v>
          </cell>
          <cell r="C9114">
            <v>3026.68</v>
          </cell>
        </row>
        <row r="9115">
          <cell r="B9115">
            <v>42676</v>
          </cell>
          <cell r="C9115" t="str">
            <v>$3,026.68</v>
          </cell>
        </row>
        <row r="9116">
          <cell r="B9116">
            <v>42677</v>
          </cell>
          <cell r="C9116" t="str">
            <v>$3,070.54</v>
          </cell>
        </row>
        <row r="9117">
          <cell r="B9117">
            <v>42678</v>
          </cell>
          <cell r="C9117" t="str">
            <v>$3,071.12</v>
          </cell>
        </row>
        <row r="9118">
          <cell r="B9118">
            <v>42679</v>
          </cell>
          <cell r="C9118" t="str">
            <v>$3,070.40</v>
          </cell>
        </row>
        <row r="9119">
          <cell r="B9119">
            <v>42680</v>
          </cell>
          <cell r="C9119" t="str">
            <v>$3,070.40</v>
          </cell>
        </row>
        <row r="9120">
          <cell r="B9120">
            <v>42681</v>
          </cell>
          <cell r="C9120" t="str">
            <v>$3,070.40</v>
          </cell>
        </row>
        <row r="9121">
          <cell r="B9121">
            <v>42682</v>
          </cell>
          <cell r="C9121" t="str">
            <v>$3,070.40</v>
          </cell>
        </row>
        <row r="9122">
          <cell r="B9122">
            <v>42683</v>
          </cell>
          <cell r="C9122" t="str">
            <v>$2,984.78</v>
          </cell>
        </row>
        <row r="9123">
          <cell r="B9123">
            <v>42684</v>
          </cell>
          <cell r="C9123" t="str">
            <v>$3,012.12</v>
          </cell>
        </row>
        <row r="9124">
          <cell r="B9124">
            <v>42685</v>
          </cell>
          <cell r="C9124" t="str">
            <v>$3,100.12</v>
          </cell>
        </row>
        <row r="9125">
          <cell r="B9125">
            <v>42686</v>
          </cell>
          <cell r="C9125" t="str">
            <v>$3,100.12</v>
          </cell>
        </row>
        <row r="9126">
          <cell r="B9126">
            <v>42687</v>
          </cell>
          <cell r="C9126" t="str">
            <v>$3,100.12</v>
          </cell>
        </row>
        <row r="9127">
          <cell r="B9127">
            <v>42688</v>
          </cell>
          <cell r="C9127" t="str">
            <v>$3,100.12</v>
          </cell>
        </row>
        <row r="9128">
          <cell r="B9128">
            <v>42689</v>
          </cell>
          <cell r="C9128" t="str">
            <v>$3,100.12</v>
          </cell>
        </row>
        <row r="9129">
          <cell r="B9129">
            <v>42690</v>
          </cell>
          <cell r="C9129" t="str">
            <v>$3,124.91</v>
          </cell>
        </row>
        <row r="9130">
          <cell r="B9130">
            <v>42691</v>
          </cell>
          <cell r="C9130" t="str">
            <v>$3,131.11</v>
          </cell>
        </row>
        <row r="9131">
          <cell r="B9131">
            <v>42692</v>
          </cell>
          <cell r="C9131" t="str">
            <v>$3,135.65</v>
          </cell>
        </row>
        <row r="9132">
          <cell r="B9132">
            <v>42693</v>
          </cell>
          <cell r="C9132" t="str">
            <v>$3,163.49</v>
          </cell>
        </row>
        <row r="9133">
          <cell r="B9133">
            <v>42694</v>
          </cell>
          <cell r="C9133" t="str">
            <v>$3,163.49</v>
          </cell>
        </row>
        <row r="9134">
          <cell r="B9134">
            <v>42695</v>
          </cell>
          <cell r="C9134" t="str">
            <v>$3,163.49</v>
          </cell>
        </row>
        <row r="9135">
          <cell r="B9135">
            <v>42696</v>
          </cell>
          <cell r="C9135" t="str">
            <v>$3,144.72</v>
          </cell>
        </row>
        <row r="9136">
          <cell r="B9136">
            <v>42697</v>
          </cell>
          <cell r="C9136" t="str">
            <v>$3,139.76</v>
          </cell>
        </row>
        <row r="9137">
          <cell r="B9137">
            <v>42698</v>
          </cell>
          <cell r="C9137" t="str">
            <v>$3,187.97</v>
          </cell>
        </row>
        <row r="9138">
          <cell r="B9138">
            <v>42699</v>
          </cell>
          <cell r="C9138" t="str">
            <v>$3,187.97</v>
          </cell>
        </row>
        <row r="9139">
          <cell r="B9139">
            <v>42700</v>
          </cell>
          <cell r="C9139" t="str">
            <v>$3,170.64</v>
          </cell>
        </row>
        <row r="9140">
          <cell r="B9140">
            <v>42701</v>
          </cell>
          <cell r="C9140" t="str">
            <v>$3,170.64</v>
          </cell>
        </row>
        <row r="9141">
          <cell r="B9141">
            <v>42702</v>
          </cell>
          <cell r="C9141" t="str">
            <v>$3,170.64</v>
          </cell>
        </row>
        <row r="9142">
          <cell r="B9142">
            <v>42703</v>
          </cell>
          <cell r="C9142" t="str">
            <v>$3,142.20</v>
          </cell>
        </row>
        <row r="9143">
          <cell r="B9143">
            <v>42704</v>
          </cell>
          <cell r="C9143" t="str">
            <v>$3,165.09</v>
          </cell>
        </row>
        <row r="9144">
          <cell r="B9144">
            <v>42705</v>
          </cell>
          <cell r="C9144" t="str">
            <v>$3,085.60</v>
          </cell>
        </row>
        <row r="9145">
          <cell r="B9145">
            <v>42706</v>
          </cell>
          <cell r="C9145" t="str">
            <v>$3,068.34</v>
          </cell>
        </row>
        <row r="9146">
          <cell r="B9146">
            <v>42707</v>
          </cell>
          <cell r="C9146" t="str">
            <v>$3,061.04</v>
          </cell>
        </row>
        <row r="9147">
          <cell r="B9147">
            <v>42708</v>
          </cell>
          <cell r="C9147" t="str">
            <v>$3,061.04</v>
          </cell>
        </row>
        <row r="9148">
          <cell r="B9148">
            <v>42709</v>
          </cell>
          <cell r="C9148" t="str">
            <v>$3,061.04</v>
          </cell>
        </row>
        <row r="9149">
          <cell r="B9149">
            <v>42710</v>
          </cell>
          <cell r="C9149" t="str">
            <v>$3,049.47</v>
          </cell>
        </row>
        <row r="9150">
          <cell r="B9150">
            <v>42711</v>
          </cell>
          <cell r="C9150" t="str">
            <v>$3,015.47</v>
          </cell>
        </row>
        <row r="9151">
          <cell r="B9151">
            <v>42712</v>
          </cell>
          <cell r="C9151" t="str">
            <v>$2,989.71</v>
          </cell>
        </row>
        <row r="9152">
          <cell r="B9152">
            <v>42713</v>
          </cell>
          <cell r="C9152" t="str">
            <v>$2,989.71</v>
          </cell>
        </row>
        <row r="9153">
          <cell r="B9153">
            <v>42714</v>
          </cell>
          <cell r="C9153">
            <v>3002</v>
          </cell>
        </row>
        <row r="9154">
          <cell r="B9154">
            <v>42715</v>
          </cell>
          <cell r="C9154" t="str">
            <v>$3,002.80</v>
          </cell>
        </row>
        <row r="9155">
          <cell r="B9155">
            <v>42716</v>
          </cell>
          <cell r="C9155" t="str">
            <v>$3,002.80</v>
          </cell>
        </row>
        <row r="9156">
          <cell r="B9156">
            <v>42717</v>
          </cell>
          <cell r="C9156" t="str">
            <v>$2,984.02</v>
          </cell>
        </row>
        <row r="9157">
          <cell r="B9157">
            <v>42718</v>
          </cell>
          <cell r="C9157" t="str">
            <v>$2,982.29</v>
          </cell>
        </row>
        <row r="9158">
          <cell r="B9158">
            <v>42719</v>
          </cell>
          <cell r="C9158" t="str">
            <v>$2,964.56</v>
          </cell>
        </row>
        <row r="9159">
          <cell r="B9159">
            <v>42720</v>
          </cell>
          <cell r="C9159" t="str">
            <v>$3,000.47</v>
          </cell>
        </row>
        <row r="9160">
          <cell r="B9160">
            <v>42721</v>
          </cell>
          <cell r="C9160" t="str">
            <v>$2,997.20</v>
          </cell>
        </row>
        <row r="9161">
          <cell r="B9161">
            <v>42722</v>
          </cell>
          <cell r="C9161" t="str">
            <v>$2,997.20</v>
          </cell>
        </row>
        <row r="9162">
          <cell r="B9162">
            <v>42723</v>
          </cell>
          <cell r="C9162" t="str">
            <v>$2,997.20</v>
          </cell>
        </row>
        <row r="9163">
          <cell r="B9163">
            <v>42724</v>
          </cell>
          <cell r="C9163" t="str">
            <v>$3,019.44</v>
          </cell>
        </row>
        <row r="9164">
          <cell r="B9164">
            <v>42725</v>
          </cell>
          <cell r="C9164" t="str">
            <v>$2,988.06</v>
          </cell>
        </row>
        <row r="9165">
          <cell r="B9165">
            <v>42726</v>
          </cell>
          <cell r="C9165" t="str">
            <v>$2,989.14</v>
          </cell>
        </row>
        <row r="9166">
          <cell r="B9166">
            <v>42727</v>
          </cell>
          <cell r="C9166" t="str">
            <v>$2,996.03</v>
          </cell>
        </row>
        <row r="9167">
          <cell r="B9167">
            <v>42728</v>
          </cell>
          <cell r="C9167" t="str">
            <v>$2,996.60</v>
          </cell>
        </row>
        <row r="9168">
          <cell r="B9168">
            <v>42729</v>
          </cell>
          <cell r="C9168" t="str">
            <v>$2,996.60</v>
          </cell>
        </row>
        <row r="9169">
          <cell r="B9169">
            <v>42730</v>
          </cell>
          <cell r="C9169" t="str">
            <v>$2,996.60</v>
          </cell>
        </row>
        <row r="9170">
          <cell r="B9170">
            <v>42731</v>
          </cell>
          <cell r="C9170" t="str">
            <v>$2,996.60</v>
          </cell>
        </row>
        <row r="9171">
          <cell r="B9171">
            <v>42732</v>
          </cell>
          <cell r="C9171" t="str">
            <v>$2,992.81</v>
          </cell>
        </row>
        <row r="9172">
          <cell r="B9172">
            <v>42733</v>
          </cell>
          <cell r="C9172" t="str">
            <v>$3,019.72</v>
          </cell>
        </row>
        <row r="9173">
          <cell r="B9173">
            <v>42734</v>
          </cell>
          <cell r="C9173" t="str">
            <v>$3,000.71</v>
          </cell>
        </row>
        <row r="9174">
          <cell r="B9174">
            <v>42735</v>
          </cell>
          <cell r="C9174" t="str">
            <v>$3,000.71</v>
          </cell>
        </row>
        <row r="9175">
          <cell r="B9175">
            <v>42736</v>
          </cell>
          <cell r="C9175" t="str">
            <v>$3,000.71</v>
          </cell>
        </row>
        <row r="9176">
          <cell r="B9176">
            <v>42737</v>
          </cell>
          <cell r="C9176" t="str">
            <v>$3,000.71</v>
          </cell>
        </row>
        <row r="9177">
          <cell r="B9177">
            <v>42738</v>
          </cell>
          <cell r="C9177" t="str">
            <v>$3,000.71</v>
          </cell>
        </row>
        <row r="9178">
          <cell r="B9178">
            <v>42739</v>
          </cell>
          <cell r="C9178" t="str">
            <v>$2,981.06</v>
          </cell>
        </row>
        <row r="9179">
          <cell r="B9179">
            <v>42740</v>
          </cell>
          <cell r="C9179" t="str">
            <v>$2,965.36</v>
          </cell>
        </row>
        <row r="9180">
          <cell r="B9180">
            <v>42741</v>
          </cell>
          <cell r="C9180" t="str">
            <v>$2,941.08</v>
          </cell>
        </row>
        <row r="9181">
          <cell r="B9181">
            <v>42742</v>
          </cell>
          <cell r="C9181" t="str">
            <v>$2,919.01</v>
          </cell>
        </row>
        <row r="9182">
          <cell r="B9182">
            <v>42743</v>
          </cell>
          <cell r="C9182" t="str">
            <v>$2,919.01</v>
          </cell>
        </row>
        <row r="9183">
          <cell r="B9183">
            <v>42744</v>
          </cell>
          <cell r="C9183" t="str">
            <v>$2,919.01</v>
          </cell>
        </row>
        <row r="9184">
          <cell r="B9184">
            <v>42745</v>
          </cell>
          <cell r="C9184" t="str">
            <v>$2,919.01</v>
          </cell>
        </row>
        <row r="9185">
          <cell r="B9185">
            <v>42746</v>
          </cell>
          <cell r="C9185" t="str">
            <v>$2,949.60</v>
          </cell>
        </row>
        <row r="9186">
          <cell r="B9186">
            <v>42747</v>
          </cell>
          <cell r="C9186" t="str">
            <v>$2,980.80</v>
          </cell>
        </row>
        <row r="9187">
          <cell r="B9187">
            <v>42748</v>
          </cell>
          <cell r="C9187" t="str">
            <v>$2,930.19</v>
          </cell>
        </row>
        <row r="9188">
          <cell r="B9188">
            <v>42749</v>
          </cell>
          <cell r="C9188" t="str">
            <v>$2,935.96</v>
          </cell>
        </row>
        <row r="9189">
          <cell r="B9189">
            <v>42750</v>
          </cell>
          <cell r="C9189" t="str">
            <v>$2,935.96</v>
          </cell>
        </row>
        <row r="9190">
          <cell r="B9190">
            <v>42751</v>
          </cell>
          <cell r="C9190" t="str">
            <v>$2,935.96</v>
          </cell>
        </row>
        <row r="9191">
          <cell r="B9191">
            <v>42752</v>
          </cell>
          <cell r="C9191" t="str">
            <v>$2,935.96</v>
          </cell>
        </row>
        <row r="9192">
          <cell r="B9192">
            <v>42753</v>
          </cell>
          <cell r="C9192" t="str">
            <v>$2,924.77</v>
          </cell>
        </row>
        <row r="9193">
          <cell r="B9193">
            <v>42754</v>
          </cell>
          <cell r="C9193" t="str">
            <v>$2,934.58</v>
          </cell>
        </row>
        <row r="9194">
          <cell r="B9194">
            <v>42755</v>
          </cell>
          <cell r="C9194" t="str">
            <v>$2,938.24</v>
          </cell>
        </row>
        <row r="9195">
          <cell r="B9195">
            <v>42756</v>
          </cell>
          <cell r="C9195" t="str">
            <v>$2,927.91</v>
          </cell>
        </row>
        <row r="9196">
          <cell r="B9196">
            <v>42757</v>
          </cell>
          <cell r="C9196" t="str">
            <v>$2,927.91</v>
          </cell>
        </row>
        <row r="9197">
          <cell r="B9197">
            <v>42758</v>
          </cell>
          <cell r="C9197" t="str">
            <v>$2,927.91</v>
          </cell>
        </row>
        <row r="9198">
          <cell r="B9198">
            <v>42759</v>
          </cell>
          <cell r="C9198" t="str">
            <v>$2,908.53</v>
          </cell>
        </row>
        <row r="9199">
          <cell r="B9199">
            <v>42760</v>
          </cell>
          <cell r="C9199" t="str">
            <v>$2,932.01</v>
          </cell>
        </row>
        <row r="9200">
          <cell r="B9200">
            <v>42761</v>
          </cell>
          <cell r="C9200" t="str">
            <v>$2,927.53</v>
          </cell>
        </row>
        <row r="9201">
          <cell r="B9201">
            <v>42762</v>
          </cell>
          <cell r="C9201" t="str">
            <v>$2,936.72</v>
          </cell>
        </row>
        <row r="9202">
          <cell r="B9202">
            <v>42763</v>
          </cell>
          <cell r="C9202" t="str">
            <v>$2,930.17</v>
          </cell>
        </row>
        <row r="9203">
          <cell r="B9203">
            <v>42764</v>
          </cell>
          <cell r="C9203" t="str">
            <v>$2,930.17</v>
          </cell>
        </row>
        <row r="9204">
          <cell r="B9204">
            <v>42765</v>
          </cell>
          <cell r="C9204" t="str">
            <v>$2,930.17</v>
          </cell>
        </row>
        <row r="9205">
          <cell r="B9205">
            <v>42766</v>
          </cell>
          <cell r="C9205" t="str">
            <v>$2,936.66</v>
          </cell>
        </row>
        <row r="9206">
          <cell r="B9206">
            <v>42767</v>
          </cell>
          <cell r="C9206" t="str">
            <v>$2,921.90</v>
          </cell>
        </row>
        <row r="9207">
          <cell r="B9207">
            <v>42768</v>
          </cell>
          <cell r="C9207" t="str">
            <v>$2,906.78</v>
          </cell>
        </row>
        <row r="9208">
          <cell r="B9208">
            <v>42769</v>
          </cell>
          <cell r="C9208" t="str">
            <v>$2,882.20</v>
          </cell>
        </row>
        <row r="9209">
          <cell r="B9209">
            <v>42770</v>
          </cell>
          <cell r="C9209" t="str">
            <v>$2,855.80</v>
          </cell>
        </row>
        <row r="9210">
          <cell r="B9210">
            <v>42771</v>
          </cell>
          <cell r="C9210" t="str">
            <v>$2,855.80</v>
          </cell>
        </row>
        <row r="9211">
          <cell r="B9211">
            <v>42772</v>
          </cell>
          <cell r="C9211" t="str">
            <v>$2,855.80</v>
          </cell>
        </row>
        <row r="9212">
          <cell r="B9212">
            <v>42773</v>
          </cell>
          <cell r="C9212" t="str">
            <v>$2,853.99</v>
          </cell>
        </row>
        <row r="9213">
          <cell r="B9213">
            <v>42774</v>
          </cell>
          <cell r="C9213" t="str">
            <v>$2,867.76</v>
          </cell>
        </row>
        <row r="9214">
          <cell r="B9214">
            <v>42775</v>
          </cell>
          <cell r="C9214" t="str">
            <v>$2,879.49</v>
          </cell>
        </row>
        <row r="9215">
          <cell r="B9215">
            <v>42776</v>
          </cell>
          <cell r="C9215" t="str">
            <v>$2,862.63</v>
          </cell>
        </row>
        <row r="9216">
          <cell r="B9216">
            <v>42777</v>
          </cell>
          <cell r="C9216" t="str">
            <v>$2,851.98</v>
          </cell>
        </row>
        <row r="9217">
          <cell r="B9217">
            <v>42778</v>
          </cell>
          <cell r="C9217" t="str">
            <v>$2,851.98</v>
          </cell>
        </row>
        <row r="9218">
          <cell r="B9218">
            <v>42779</v>
          </cell>
          <cell r="C9218" t="str">
            <v>$2,851.98</v>
          </cell>
        </row>
        <row r="9219">
          <cell r="B9219">
            <v>42780</v>
          </cell>
          <cell r="C9219" t="str">
            <v>$2,875.46</v>
          </cell>
        </row>
        <row r="9220">
          <cell r="B9220">
            <v>42781</v>
          </cell>
          <cell r="C9220" t="str">
            <v>$2,867.64</v>
          </cell>
        </row>
        <row r="9221">
          <cell r="B9221">
            <v>42782</v>
          </cell>
          <cell r="C9221" t="str">
            <v>$2,876.03</v>
          </cell>
        </row>
        <row r="9222">
          <cell r="B9222">
            <v>42783</v>
          </cell>
          <cell r="C9222" t="str">
            <v>$2,875.68</v>
          </cell>
        </row>
        <row r="9223">
          <cell r="B9223">
            <v>42784</v>
          </cell>
          <cell r="C9223" t="str">
            <v>$2,902.81</v>
          </cell>
        </row>
        <row r="9224">
          <cell r="B9224">
            <v>42785</v>
          </cell>
          <cell r="C9224" t="str">
            <v>$2,902.81</v>
          </cell>
        </row>
        <row r="9225">
          <cell r="B9225">
            <v>42786</v>
          </cell>
          <cell r="C9225" t="str">
            <v>$2,902.81</v>
          </cell>
        </row>
        <row r="9226">
          <cell r="B9226">
            <v>42787</v>
          </cell>
          <cell r="C9226" t="str">
            <v>$2,902.81</v>
          </cell>
        </row>
        <row r="9227">
          <cell r="B9227">
            <v>42788</v>
          </cell>
          <cell r="C9227" t="str">
            <v>$2,902.68</v>
          </cell>
        </row>
        <row r="9228">
          <cell r="B9228">
            <v>42789</v>
          </cell>
          <cell r="C9228" t="str">
            <v>$2,893.55</v>
          </cell>
        </row>
        <row r="9229">
          <cell r="B9229">
            <v>42790</v>
          </cell>
          <cell r="C9229" t="str">
            <v>$2,871.67</v>
          </cell>
        </row>
        <row r="9230">
          <cell r="B9230">
            <v>42791</v>
          </cell>
          <cell r="C9230" t="str">
            <v>$2,886.52</v>
          </cell>
        </row>
        <row r="9231">
          <cell r="B9231">
            <v>42792</v>
          </cell>
          <cell r="C9231" t="str">
            <v>$2,886.52</v>
          </cell>
        </row>
        <row r="9232">
          <cell r="B9232">
            <v>42793</v>
          </cell>
          <cell r="C9232" t="str">
            <v>$2,886.52</v>
          </cell>
        </row>
        <row r="9233">
          <cell r="B9233">
            <v>42794</v>
          </cell>
          <cell r="C9233" t="str">
            <v>$2,896.27</v>
          </cell>
        </row>
        <row r="9234">
          <cell r="B9234">
            <v>42795</v>
          </cell>
          <cell r="C9234" t="str">
            <v>$2,919.17</v>
          </cell>
        </row>
        <row r="9235">
          <cell r="B9235">
            <v>42796</v>
          </cell>
          <cell r="C9235" t="str">
            <v>$2,935.75</v>
          </cell>
        </row>
        <row r="9236">
          <cell r="B9236">
            <v>42797</v>
          </cell>
          <cell r="C9236" t="str">
            <v>$2,960.91</v>
          </cell>
        </row>
        <row r="9237">
          <cell r="B9237">
            <v>42798</v>
          </cell>
          <cell r="C9237" t="str">
            <v>$2,977.43</v>
          </cell>
        </row>
        <row r="9238">
          <cell r="B9238">
            <v>42799</v>
          </cell>
          <cell r="C9238" t="str">
            <v>$2,977.43</v>
          </cell>
        </row>
        <row r="9239">
          <cell r="B9239">
            <v>42800</v>
          </cell>
          <cell r="C9239" t="str">
            <v>$2,977.43</v>
          </cell>
        </row>
        <row r="9240">
          <cell r="B9240">
            <v>42801</v>
          </cell>
          <cell r="C9240" t="str">
            <v>$2,966.67</v>
          </cell>
        </row>
        <row r="9241">
          <cell r="B9241">
            <v>42802</v>
          </cell>
          <cell r="C9241" t="str">
            <v>$2,972.44</v>
          </cell>
        </row>
        <row r="9242">
          <cell r="B9242">
            <v>42803</v>
          </cell>
          <cell r="C9242" t="str">
            <v>$2,987.88</v>
          </cell>
        </row>
        <row r="9243">
          <cell r="B9243">
            <v>42804</v>
          </cell>
          <cell r="C9243" t="str">
            <v>$3,004.43</v>
          </cell>
        </row>
        <row r="9244">
          <cell r="B9244">
            <v>42805</v>
          </cell>
          <cell r="C9244" t="str">
            <v>$2,980.83</v>
          </cell>
        </row>
        <row r="9245">
          <cell r="B9245">
            <v>42806</v>
          </cell>
          <cell r="C9245" t="str">
            <v>$2,980.83</v>
          </cell>
        </row>
        <row r="9246">
          <cell r="B9246">
            <v>42807</v>
          </cell>
          <cell r="C9246" t="str">
            <v>$2,980.83</v>
          </cell>
        </row>
        <row r="9247">
          <cell r="B9247">
            <v>42808</v>
          </cell>
          <cell r="C9247" t="str">
            <v>$2,987.93</v>
          </cell>
        </row>
        <row r="9248">
          <cell r="B9248">
            <v>42809</v>
          </cell>
          <cell r="C9248" t="str">
            <v>$2,997.73</v>
          </cell>
        </row>
        <row r="9249">
          <cell r="B9249">
            <v>42810</v>
          </cell>
          <cell r="C9249" t="str">
            <v>$2,972.61</v>
          </cell>
        </row>
        <row r="9250">
          <cell r="B9250">
            <v>42811</v>
          </cell>
          <cell r="C9250" t="str">
            <v>$2,923.96</v>
          </cell>
        </row>
        <row r="9251">
          <cell r="B9251">
            <v>42812</v>
          </cell>
          <cell r="C9251" t="str">
            <v>$2,912.53</v>
          </cell>
        </row>
        <row r="9252">
          <cell r="B9252">
            <v>42813</v>
          </cell>
          <cell r="C9252" t="str">
            <v>$2,912.53</v>
          </cell>
        </row>
        <row r="9253">
          <cell r="B9253">
            <v>42814</v>
          </cell>
          <cell r="C9253" t="str">
            <v>$2,912.53</v>
          </cell>
        </row>
        <row r="9254">
          <cell r="B9254">
            <v>42815</v>
          </cell>
          <cell r="C9254" t="str">
            <v>$2,912.53</v>
          </cell>
        </row>
        <row r="9255">
          <cell r="B9255">
            <v>42816</v>
          </cell>
          <cell r="C9255" t="str">
            <v>$2,904.87</v>
          </cell>
        </row>
        <row r="9256">
          <cell r="B9256">
            <v>42817</v>
          </cell>
          <cell r="C9256" t="str">
            <v>$2,936.82</v>
          </cell>
        </row>
        <row r="9257">
          <cell r="B9257">
            <v>42818</v>
          </cell>
          <cell r="C9257" t="str">
            <v>$2,921.25</v>
          </cell>
        </row>
        <row r="9258">
          <cell r="B9258">
            <v>42819</v>
          </cell>
          <cell r="C9258" t="str">
            <v>$2,899.94</v>
          </cell>
        </row>
        <row r="9259">
          <cell r="B9259">
            <v>42820</v>
          </cell>
          <cell r="C9259" t="str">
            <v>$2,899.94</v>
          </cell>
        </row>
        <row r="9260">
          <cell r="B9260">
            <v>42821</v>
          </cell>
          <cell r="C9260" t="str">
            <v>$2,899.94</v>
          </cell>
        </row>
        <row r="9261">
          <cell r="B9261">
            <v>42822</v>
          </cell>
          <cell r="C9261" t="str">
            <v>$2,913.48</v>
          </cell>
        </row>
        <row r="9262">
          <cell r="B9262">
            <v>42823</v>
          </cell>
          <cell r="C9262" t="str">
            <v>$2,911.99</v>
          </cell>
        </row>
        <row r="9263">
          <cell r="B9263">
            <v>42824</v>
          </cell>
          <cell r="C9263" t="str">
            <v>$2,888.02</v>
          </cell>
        </row>
        <row r="9264">
          <cell r="B9264">
            <v>42825</v>
          </cell>
          <cell r="C9264" t="str">
            <v>$2,880.24</v>
          </cell>
        </row>
        <row r="9265">
          <cell r="B9265">
            <v>42826</v>
          </cell>
          <cell r="C9265" t="str">
            <v>$2,885.57</v>
          </cell>
        </row>
        <row r="9266">
          <cell r="B9266">
            <v>42827</v>
          </cell>
          <cell r="C9266" t="str">
            <v>$2,885.57</v>
          </cell>
        </row>
        <row r="9267">
          <cell r="B9267">
            <v>42828</v>
          </cell>
          <cell r="C9267" t="str">
            <v>$2,885.57</v>
          </cell>
        </row>
        <row r="9268">
          <cell r="B9268">
            <v>42829</v>
          </cell>
          <cell r="C9268" t="str">
            <v>$2,866.87</v>
          </cell>
        </row>
        <row r="9269">
          <cell r="B9269">
            <v>42830</v>
          </cell>
          <cell r="C9269" t="str">
            <v>$2,869.32</v>
          </cell>
        </row>
        <row r="9270">
          <cell r="B9270">
            <v>42831</v>
          </cell>
          <cell r="C9270" t="str">
            <v>$2,857.65</v>
          </cell>
        </row>
        <row r="9271">
          <cell r="B9271">
            <v>42832</v>
          </cell>
          <cell r="C9271" t="str">
            <v>$2,853.10</v>
          </cell>
        </row>
        <row r="9272">
          <cell r="B9272">
            <v>42833</v>
          </cell>
          <cell r="C9272" t="str">
            <v>$2,858.00</v>
          </cell>
        </row>
        <row r="9273">
          <cell r="B9273">
            <v>42834</v>
          </cell>
          <cell r="C9273" t="str">
            <v>$2,858.00</v>
          </cell>
        </row>
        <row r="9274">
          <cell r="B9274">
            <v>42835</v>
          </cell>
          <cell r="C9274" t="str">
            <v>$2,858.00</v>
          </cell>
        </row>
        <row r="9275">
          <cell r="B9275">
            <v>42836</v>
          </cell>
          <cell r="C9275" t="str">
            <v>$2,867.13</v>
          </cell>
        </row>
        <row r="9276">
          <cell r="B9276">
            <v>42837</v>
          </cell>
          <cell r="C9276" t="str">
            <v>$2,868.60</v>
          </cell>
        </row>
        <row r="9277">
          <cell r="B9277">
            <v>42838</v>
          </cell>
          <cell r="C9277">
            <v>2872.55</v>
          </cell>
        </row>
        <row r="9278">
          <cell r="B9278">
            <v>42839</v>
          </cell>
          <cell r="C9278">
            <v>2872.55</v>
          </cell>
        </row>
        <row r="9279">
          <cell r="B9279">
            <v>42840</v>
          </cell>
          <cell r="C9279">
            <v>2872.55</v>
          </cell>
        </row>
        <row r="9280">
          <cell r="B9280">
            <v>42841</v>
          </cell>
          <cell r="C9280">
            <v>2872.55</v>
          </cell>
        </row>
        <row r="9281">
          <cell r="B9281">
            <v>42842</v>
          </cell>
          <cell r="C9281">
            <v>2872.55</v>
          </cell>
        </row>
        <row r="9282">
          <cell r="B9282">
            <v>42843</v>
          </cell>
          <cell r="C9282">
            <v>2854.89</v>
          </cell>
        </row>
        <row r="9283">
          <cell r="B9283">
            <v>42844</v>
          </cell>
          <cell r="C9283">
            <v>2837.9</v>
          </cell>
        </row>
        <row r="9284">
          <cell r="B9284">
            <v>42845</v>
          </cell>
          <cell r="C9284">
            <v>2856.48</v>
          </cell>
        </row>
        <row r="9285">
          <cell r="B9285">
            <v>42846</v>
          </cell>
          <cell r="C9285">
            <v>2863.39</v>
          </cell>
        </row>
        <row r="9286">
          <cell r="B9286">
            <v>42847</v>
          </cell>
          <cell r="C9286">
            <v>2868.89</v>
          </cell>
        </row>
        <row r="9287">
          <cell r="B9287">
            <v>42848</v>
          </cell>
          <cell r="C9287">
            <v>2868.89</v>
          </cell>
        </row>
        <row r="9288">
          <cell r="B9288">
            <v>42849</v>
          </cell>
          <cell r="C9288">
            <v>2868.89</v>
          </cell>
        </row>
        <row r="9289">
          <cell r="B9289">
            <v>42850</v>
          </cell>
          <cell r="C9289">
            <v>2871.98</v>
          </cell>
        </row>
        <row r="9290">
          <cell r="B9290">
            <v>42851</v>
          </cell>
          <cell r="C9290">
            <v>2899.13</v>
          </cell>
        </row>
        <row r="9291">
          <cell r="B9291">
            <v>42852</v>
          </cell>
          <cell r="C9291">
            <v>2928.07</v>
          </cell>
        </row>
        <row r="9292">
          <cell r="B9292">
            <v>42853</v>
          </cell>
          <cell r="C9292">
            <v>2944.31</v>
          </cell>
        </row>
        <row r="9293">
          <cell r="B9293">
            <v>42854</v>
          </cell>
          <cell r="C9293">
            <v>2947.85</v>
          </cell>
        </row>
        <row r="9294">
          <cell r="B9294">
            <v>42855</v>
          </cell>
          <cell r="C9294">
            <v>2947.85</v>
          </cell>
        </row>
        <row r="9295">
          <cell r="B9295">
            <v>42856</v>
          </cell>
          <cell r="C9295">
            <v>2947.85</v>
          </cell>
        </row>
        <row r="9296">
          <cell r="B9296">
            <v>42857</v>
          </cell>
          <cell r="C9296">
            <v>2947.85</v>
          </cell>
        </row>
        <row r="9297">
          <cell r="B9297">
            <v>42858</v>
          </cell>
          <cell r="C9297">
            <v>2945.53</v>
          </cell>
        </row>
        <row r="9298">
          <cell r="B9298">
            <v>42859</v>
          </cell>
          <cell r="C9298">
            <v>2930.17</v>
          </cell>
        </row>
        <row r="9299">
          <cell r="B9299">
            <v>42860</v>
          </cell>
          <cell r="C9299">
            <v>2967.44</v>
          </cell>
        </row>
        <row r="9300">
          <cell r="B9300">
            <v>42861</v>
          </cell>
          <cell r="C9300">
            <v>2961.78</v>
          </cell>
        </row>
        <row r="9301">
          <cell r="B9301">
            <v>42862</v>
          </cell>
          <cell r="C9301">
            <v>2961.78</v>
          </cell>
        </row>
        <row r="9302">
          <cell r="B9302">
            <v>42863</v>
          </cell>
          <cell r="C9302">
            <v>2961.78</v>
          </cell>
        </row>
        <row r="9303">
          <cell r="B9303">
            <v>42864</v>
          </cell>
          <cell r="C9303">
            <v>2959.26</v>
          </cell>
        </row>
        <row r="9304">
          <cell r="B9304">
            <v>42865</v>
          </cell>
          <cell r="C9304">
            <v>2967.24</v>
          </cell>
        </row>
        <row r="9305">
          <cell r="B9305">
            <v>42866</v>
          </cell>
          <cell r="C9305">
            <v>2949.35</v>
          </cell>
        </row>
        <row r="9306">
          <cell r="B9306">
            <v>42867</v>
          </cell>
          <cell r="C9306">
            <v>2933.92</v>
          </cell>
        </row>
        <row r="9307">
          <cell r="B9307">
            <v>42868</v>
          </cell>
          <cell r="C9307">
            <v>2918.69</v>
          </cell>
        </row>
        <row r="9308">
          <cell r="B9308">
            <v>42869</v>
          </cell>
          <cell r="C9308">
            <v>2918.69</v>
          </cell>
        </row>
        <row r="9309">
          <cell r="B9309">
            <v>42870</v>
          </cell>
          <cell r="C9309">
            <v>2918.69</v>
          </cell>
        </row>
        <row r="9310">
          <cell r="B9310">
            <v>42871</v>
          </cell>
          <cell r="C9310">
            <v>2883.87</v>
          </cell>
        </row>
        <row r="9311">
          <cell r="B9311">
            <v>42872</v>
          </cell>
          <cell r="C9311">
            <v>2873.22</v>
          </cell>
        </row>
        <row r="9312">
          <cell r="B9312">
            <v>42873</v>
          </cell>
          <cell r="C9312">
            <v>2893.4</v>
          </cell>
        </row>
        <row r="9313">
          <cell r="B9313">
            <v>42874</v>
          </cell>
          <cell r="C9313">
            <v>2932.16</v>
          </cell>
        </row>
        <row r="9314">
          <cell r="B9314">
            <v>42875</v>
          </cell>
          <cell r="C9314">
            <v>2889.45</v>
          </cell>
        </row>
        <row r="9315">
          <cell r="B9315">
            <v>42876</v>
          </cell>
          <cell r="C9315">
            <v>2889.45</v>
          </cell>
        </row>
        <row r="9316">
          <cell r="B9316">
            <v>42877</v>
          </cell>
          <cell r="C9316">
            <v>2889.45</v>
          </cell>
        </row>
        <row r="9317">
          <cell r="B9317">
            <v>42878</v>
          </cell>
          <cell r="C9317">
            <v>2895.12</v>
          </cell>
        </row>
        <row r="9318">
          <cell r="B9318">
            <v>42879</v>
          </cell>
          <cell r="C9318">
            <v>2904.61</v>
          </cell>
        </row>
        <row r="9319">
          <cell r="B9319">
            <v>42880</v>
          </cell>
          <cell r="C9319">
            <v>2905.29</v>
          </cell>
        </row>
        <row r="9320">
          <cell r="B9320">
            <v>42881</v>
          </cell>
          <cell r="C9320">
            <v>2911.66</v>
          </cell>
        </row>
        <row r="9321">
          <cell r="B9321">
            <v>42882</v>
          </cell>
          <cell r="C9321">
            <v>2913.47</v>
          </cell>
        </row>
        <row r="9322">
          <cell r="B9322">
            <v>42883</v>
          </cell>
          <cell r="C9322">
            <v>2913.47</v>
          </cell>
        </row>
        <row r="9323">
          <cell r="B9323">
            <v>42884</v>
          </cell>
          <cell r="C9323">
            <v>2913.47</v>
          </cell>
        </row>
        <row r="9324">
          <cell r="B9324">
            <v>42885</v>
          </cell>
          <cell r="C9324">
            <v>2913.47</v>
          </cell>
        </row>
        <row r="9325">
          <cell r="B9325">
            <v>42886</v>
          </cell>
          <cell r="C9325">
            <v>2920.42</v>
          </cell>
        </row>
        <row r="9326">
          <cell r="B9326">
            <v>42887</v>
          </cell>
          <cell r="C9326">
            <v>2921</v>
          </cell>
        </row>
        <row r="9327">
          <cell r="B9327">
            <v>42888</v>
          </cell>
          <cell r="C9327">
            <v>2895.73</v>
          </cell>
        </row>
        <row r="9328">
          <cell r="B9328">
            <v>42889</v>
          </cell>
          <cell r="C9328">
            <v>2894.72</v>
          </cell>
        </row>
        <row r="9329">
          <cell r="B9329">
            <v>42890</v>
          </cell>
          <cell r="C9329">
            <v>2894.72</v>
          </cell>
        </row>
        <row r="9330">
          <cell r="B9330">
            <v>42891</v>
          </cell>
          <cell r="C9330">
            <v>2894.72</v>
          </cell>
        </row>
        <row r="9331">
          <cell r="B9331">
            <v>42892</v>
          </cell>
          <cell r="C9331">
            <v>2895.85</v>
          </cell>
        </row>
        <row r="9332">
          <cell r="B9332">
            <v>42893</v>
          </cell>
          <cell r="C9332">
            <v>2893.76</v>
          </cell>
        </row>
        <row r="9333">
          <cell r="B9333">
            <v>42894</v>
          </cell>
          <cell r="C9333">
            <v>2907.1</v>
          </cell>
        </row>
        <row r="9334">
          <cell r="B9334">
            <v>42895</v>
          </cell>
          <cell r="C9334">
            <v>2919.82</v>
          </cell>
        </row>
        <row r="9335">
          <cell r="B9335">
            <v>42896</v>
          </cell>
          <cell r="C9335">
            <v>2919.58</v>
          </cell>
        </row>
        <row r="9336">
          <cell r="B9336">
            <v>42897</v>
          </cell>
          <cell r="C9336">
            <v>2919.58</v>
          </cell>
        </row>
        <row r="9337">
          <cell r="B9337">
            <v>42898</v>
          </cell>
          <cell r="C9337">
            <v>2919.58</v>
          </cell>
        </row>
        <row r="9338">
          <cell r="B9338">
            <v>42899</v>
          </cell>
          <cell r="C9338">
            <v>2929.2</v>
          </cell>
        </row>
        <row r="9339">
          <cell r="B9339">
            <v>42900</v>
          </cell>
          <cell r="C9339">
            <v>2933.13</v>
          </cell>
        </row>
        <row r="9340">
          <cell r="B9340">
            <v>42901</v>
          </cell>
          <cell r="C9340">
            <v>2924.75</v>
          </cell>
        </row>
        <row r="9341">
          <cell r="B9341">
            <v>42902</v>
          </cell>
          <cell r="C9341">
            <v>2953.83</v>
          </cell>
        </row>
        <row r="9342">
          <cell r="B9342">
            <v>42903</v>
          </cell>
          <cell r="C9342">
            <v>2961.68</v>
          </cell>
        </row>
        <row r="9343">
          <cell r="B9343">
            <v>42904</v>
          </cell>
          <cell r="C9343">
            <v>2961.68</v>
          </cell>
        </row>
        <row r="9344">
          <cell r="B9344">
            <v>42905</v>
          </cell>
          <cell r="C9344">
            <v>2961.68</v>
          </cell>
        </row>
        <row r="9345">
          <cell r="B9345">
            <v>42906</v>
          </cell>
          <cell r="C9345">
            <v>2961.68</v>
          </cell>
        </row>
        <row r="9346">
          <cell r="B9346">
            <v>42907</v>
          </cell>
          <cell r="C9346">
            <v>3029.53</v>
          </cell>
        </row>
        <row r="9347">
          <cell r="B9347">
            <v>42908</v>
          </cell>
          <cell r="C9347">
            <v>3053.9</v>
          </cell>
        </row>
        <row r="9348">
          <cell r="B9348">
            <v>42909</v>
          </cell>
          <cell r="C9348">
            <v>3035.83</v>
          </cell>
        </row>
        <row r="9349">
          <cell r="B9349">
            <v>42910</v>
          </cell>
          <cell r="C9349">
            <v>3010.68</v>
          </cell>
        </row>
        <row r="9350">
          <cell r="B9350">
            <v>42911</v>
          </cell>
          <cell r="C9350">
            <v>3010.68</v>
          </cell>
        </row>
        <row r="9351">
          <cell r="B9351">
            <v>42912</v>
          </cell>
          <cell r="C9351">
            <v>3010.68</v>
          </cell>
        </row>
        <row r="9352">
          <cell r="B9352">
            <v>42913</v>
          </cell>
          <cell r="C9352">
            <v>3010.68</v>
          </cell>
        </row>
        <row r="9353">
          <cell r="B9353">
            <v>42914</v>
          </cell>
          <cell r="C9353">
            <v>3025.28</v>
          </cell>
        </row>
        <row r="9354">
          <cell r="B9354">
            <v>42915</v>
          </cell>
          <cell r="C9354">
            <v>3023.64</v>
          </cell>
        </row>
        <row r="9355">
          <cell r="B9355">
            <v>42916</v>
          </cell>
          <cell r="C9355">
            <v>3038.26</v>
          </cell>
        </row>
        <row r="9356">
          <cell r="B9356">
            <v>42917</v>
          </cell>
          <cell r="C9356">
            <v>3050.43</v>
          </cell>
        </row>
        <row r="9357">
          <cell r="B9357">
            <v>42918</v>
          </cell>
          <cell r="C9357">
            <v>3050.43</v>
          </cell>
        </row>
        <row r="9358">
          <cell r="B9358">
            <v>42919</v>
          </cell>
          <cell r="C9358">
            <v>3050.43</v>
          </cell>
        </row>
        <row r="9359">
          <cell r="B9359">
            <v>42920</v>
          </cell>
          <cell r="C9359">
            <v>3050.43</v>
          </cell>
        </row>
        <row r="9360">
          <cell r="B9360">
            <v>42921</v>
          </cell>
          <cell r="C9360">
            <v>3050.43</v>
          </cell>
        </row>
        <row r="9361">
          <cell r="B9361">
            <v>42922</v>
          </cell>
          <cell r="C9361">
            <v>3068.93</v>
          </cell>
        </row>
        <row r="9362">
          <cell r="B9362">
            <v>42923</v>
          </cell>
          <cell r="C9362">
            <v>3084.19</v>
          </cell>
        </row>
        <row r="9363">
          <cell r="B9363">
            <v>42924</v>
          </cell>
          <cell r="C9363">
            <v>3092.65</v>
          </cell>
        </row>
        <row r="9364">
          <cell r="B9364">
            <v>42925</v>
          </cell>
          <cell r="C9364">
            <v>3092.65</v>
          </cell>
        </row>
        <row r="9365">
          <cell r="B9365">
            <v>42926</v>
          </cell>
          <cell r="C9365">
            <v>3092.65</v>
          </cell>
        </row>
        <row r="9366">
          <cell r="B9366">
            <v>42927</v>
          </cell>
          <cell r="C9366">
            <v>3067.33</v>
          </cell>
        </row>
        <row r="9367">
          <cell r="B9367">
            <v>42928</v>
          </cell>
          <cell r="C9367">
            <v>3067.73</v>
          </cell>
        </row>
        <row r="9368">
          <cell r="B9368">
            <v>42929</v>
          </cell>
          <cell r="C9368">
            <v>3052.3</v>
          </cell>
        </row>
        <row r="9369">
          <cell r="B9369">
            <v>42930</v>
          </cell>
          <cell r="C9369">
            <v>3043.6</v>
          </cell>
        </row>
        <row r="9370">
          <cell r="B9370">
            <v>42931</v>
          </cell>
          <cell r="C9370">
            <v>3019.56</v>
          </cell>
        </row>
        <row r="9371">
          <cell r="B9371">
            <v>42932</v>
          </cell>
          <cell r="C9371">
            <v>3019.56</v>
          </cell>
        </row>
        <row r="9372">
          <cell r="B9372">
            <v>42933</v>
          </cell>
          <cell r="C9372">
            <v>3019.56</v>
          </cell>
        </row>
        <row r="9373">
          <cell r="B9373">
            <v>42934</v>
          </cell>
          <cell r="C9373">
            <v>3030.6</v>
          </cell>
        </row>
        <row r="9374">
          <cell r="B9374">
            <v>42935</v>
          </cell>
          <cell r="C9374">
            <v>3013.26</v>
          </cell>
        </row>
        <row r="9375">
          <cell r="B9375">
            <v>42936</v>
          </cell>
          <cell r="C9375">
            <v>3010</v>
          </cell>
        </row>
        <row r="9376">
          <cell r="B9376">
            <v>42937</v>
          </cell>
          <cell r="C9376">
            <v>3010</v>
          </cell>
        </row>
        <row r="9377">
          <cell r="B9377">
            <v>42938</v>
          </cell>
          <cell r="C9377">
            <v>3010.77</v>
          </cell>
        </row>
        <row r="9378">
          <cell r="B9378">
            <v>42939</v>
          </cell>
          <cell r="C9378">
            <v>3010.77</v>
          </cell>
        </row>
        <row r="9379">
          <cell r="B9379">
            <v>42940</v>
          </cell>
          <cell r="C9379">
            <v>3010.77</v>
          </cell>
        </row>
        <row r="9380">
          <cell r="B9380">
            <v>42941</v>
          </cell>
          <cell r="C9380">
            <v>3023.67</v>
          </cell>
        </row>
        <row r="9381">
          <cell r="B9381">
            <v>42942</v>
          </cell>
          <cell r="C9381">
            <v>3026.55</v>
          </cell>
        </row>
        <row r="9382">
          <cell r="B9382">
            <v>42943</v>
          </cell>
          <cell r="C9382">
            <v>3026.22</v>
          </cell>
        </row>
        <row r="9383">
          <cell r="B9383">
            <v>42944</v>
          </cell>
          <cell r="C9383">
            <v>3002.94</v>
          </cell>
        </row>
        <row r="9384">
          <cell r="B9384">
            <v>42945</v>
          </cell>
          <cell r="C9384">
            <v>2995.23</v>
          </cell>
        </row>
        <row r="9385">
          <cell r="B9385">
            <v>42946</v>
          </cell>
          <cell r="C9385">
            <v>2995.23</v>
          </cell>
        </row>
        <row r="9386">
          <cell r="B9386">
            <v>42947</v>
          </cell>
          <cell r="C9386">
            <v>2995.23</v>
          </cell>
        </row>
        <row r="9387">
          <cell r="B9387">
            <v>42948</v>
          </cell>
          <cell r="C9387">
            <v>2997.59</v>
          </cell>
        </row>
        <row r="9388">
          <cell r="B9388">
            <v>42949</v>
          </cell>
          <cell r="C9388">
            <v>2973.03</v>
          </cell>
        </row>
        <row r="9389">
          <cell r="B9389">
            <v>42950</v>
          </cell>
          <cell r="C9389">
            <v>2964.66</v>
          </cell>
        </row>
        <row r="9390">
          <cell r="B9390">
            <v>42951</v>
          </cell>
          <cell r="C9390">
            <v>2954.54</v>
          </cell>
        </row>
        <row r="9391">
          <cell r="B9391">
            <v>42952</v>
          </cell>
          <cell r="C9391">
            <v>2974.39</v>
          </cell>
        </row>
        <row r="9392">
          <cell r="B9392">
            <v>42953</v>
          </cell>
          <cell r="C9392">
            <v>2974.39</v>
          </cell>
        </row>
        <row r="9393">
          <cell r="B9393">
            <v>42954</v>
          </cell>
          <cell r="C9393">
            <v>2974.39</v>
          </cell>
        </row>
        <row r="9394">
          <cell r="B9394">
            <v>42955</v>
          </cell>
          <cell r="C9394">
            <v>2974.39</v>
          </cell>
        </row>
        <row r="9395">
          <cell r="B9395">
            <v>42956</v>
          </cell>
          <cell r="C9395">
            <v>2994.62</v>
          </cell>
        </row>
        <row r="9396">
          <cell r="B9396">
            <v>42957</v>
          </cell>
          <cell r="C9396">
            <v>3011.14</v>
          </cell>
        </row>
        <row r="9397">
          <cell r="B9397">
            <v>42958</v>
          </cell>
          <cell r="C9397">
            <v>2994.85</v>
          </cell>
        </row>
        <row r="9398">
          <cell r="B9398">
            <v>42959</v>
          </cell>
          <cell r="C9398">
            <v>2984.99</v>
          </cell>
        </row>
        <row r="9399">
          <cell r="B9399">
            <v>42960</v>
          </cell>
          <cell r="C9399">
            <v>2984.99</v>
          </cell>
        </row>
        <row r="9400">
          <cell r="B9400">
            <v>42961</v>
          </cell>
          <cell r="C9400">
            <v>2984.99</v>
          </cell>
        </row>
        <row r="9401">
          <cell r="B9401">
            <v>42962</v>
          </cell>
          <cell r="C9401">
            <v>2966.54</v>
          </cell>
        </row>
        <row r="9402">
          <cell r="B9402">
            <v>42963</v>
          </cell>
          <cell r="C9402">
            <v>2974.7</v>
          </cell>
        </row>
        <row r="9403">
          <cell r="B9403">
            <v>42964</v>
          </cell>
          <cell r="C9403">
            <v>2967.32</v>
          </cell>
        </row>
        <row r="9404">
          <cell r="B9404">
            <v>42965</v>
          </cell>
          <cell r="C9404">
            <v>2980.03</v>
          </cell>
        </row>
        <row r="9405">
          <cell r="B9405">
            <v>42966</v>
          </cell>
          <cell r="C9405">
            <v>2994.39</v>
          </cell>
        </row>
        <row r="9406">
          <cell r="B9406">
            <v>42967</v>
          </cell>
          <cell r="C9406">
            <v>2994.39</v>
          </cell>
        </row>
        <row r="9407">
          <cell r="B9407">
            <v>42968</v>
          </cell>
          <cell r="C9407">
            <v>2994.39</v>
          </cell>
        </row>
        <row r="9408">
          <cell r="B9408">
            <v>42969</v>
          </cell>
          <cell r="C9408">
            <v>2994.39</v>
          </cell>
        </row>
        <row r="9409">
          <cell r="B9409">
            <v>42970</v>
          </cell>
          <cell r="C9409">
            <v>2986.83</v>
          </cell>
        </row>
        <row r="9410">
          <cell r="B9410">
            <v>42971</v>
          </cell>
          <cell r="C9410">
            <v>2986.88</v>
          </cell>
        </row>
        <row r="9411">
          <cell r="B9411">
            <v>42972</v>
          </cell>
          <cell r="C9411">
            <v>2972.98</v>
          </cell>
        </row>
        <row r="9412">
          <cell r="B9412">
            <v>42973</v>
          </cell>
          <cell r="C9412">
            <v>2933.96</v>
          </cell>
        </row>
        <row r="9413">
          <cell r="B9413">
            <v>42974</v>
          </cell>
          <cell r="C9413">
            <v>2933.96</v>
          </cell>
        </row>
        <row r="9414">
          <cell r="B9414">
            <v>42975</v>
          </cell>
          <cell r="C9414">
            <v>2933.96</v>
          </cell>
        </row>
        <row r="9415">
          <cell r="B9415">
            <v>42976</v>
          </cell>
          <cell r="C9415">
            <v>2934.23</v>
          </cell>
        </row>
        <row r="9416">
          <cell r="B9416">
            <v>42977</v>
          </cell>
          <cell r="C9416">
            <v>2940.35</v>
          </cell>
        </row>
        <row r="9417">
          <cell r="B9417">
            <v>42978</v>
          </cell>
          <cell r="C9417">
            <v>2937.09</v>
          </cell>
        </row>
        <row r="9418">
          <cell r="B9418">
            <v>42979</v>
          </cell>
          <cell r="C9418">
            <v>2948.09</v>
          </cell>
        </row>
        <row r="9419">
          <cell r="B9419">
            <v>42980</v>
          </cell>
          <cell r="C9419">
            <v>2936.07</v>
          </cell>
        </row>
        <row r="9420">
          <cell r="B9420">
            <v>42981</v>
          </cell>
          <cell r="C9420">
            <v>2936.07</v>
          </cell>
        </row>
        <row r="9421">
          <cell r="B9421">
            <v>42982</v>
          </cell>
          <cell r="C9421">
            <v>2936.07</v>
          </cell>
        </row>
        <row r="9422">
          <cell r="B9422">
            <v>42983</v>
          </cell>
          <cell r="C9422">
            <v>2936.07</v>
          </cell>
        </row>
        <row r="9423">
          <cell r="B9423">
            <v>42984</v>
          </cell>
          <cell r="C9423">
            <v>2923.49</v>
          </cell>
        </row>
        <row r="9424">
          <cell r="B9424">
            <v>42985</v>
          </cell>
          <cell r="C9424">
            <v>2919.5</v>
          </cell>
        </row>
        <row r="9425">
          <cell r="B9425">
            <v>42986</v>
          </cell>
          <cell r="C9425">
            <v>2907.96</v>
          </cell>
        </row>
        <row r="9426">
          <cell r="B9426">
            <v>42987</v>
          </cell>
          <cell r="C9426">
            <v>2909.15</v>
          </cell>
        </row>
        <row r="9427">
          <cell r="B9427">
            <v>42988</v>
          </cell>
          <cell r="C9427">
            <v>2909.15</v>
          </cell>
        </row>
        <row r="9428">
          <cell r="B9428">
            <v>42989</v>
          </cell>
          <cell r="C9428">
            <v>2909.15</v>
          </cell>
        </row>
        <row r="9429">
          <cell r="B9429">
            <v>42990</v>
          </cell>
          <cell r="C9429">
            <v>2916.1</v>
          </cell>
        </row>
        <row r="9430">
          <cell r="B9430">
            <v>42991</v>
          </cell>
          <cell r="C9430">
            <v>2923.03</v>
          </cell>
        </row>
        <row r="9431">
          <cell r="B9431">
            <v>42992</v>
          </cell>
          <cell r="C9431">
            <v>2909.52</v>
          </cell>
        </row>
        <row r="9432">
          <cell r="B9432">
            <v>42993</v>
          </cell>
          <cell r="C9432">
            <v>2905.98</v>
          </cell>
        </row>
        <row r="9433">
          <cell r="B9433">
            <v>42994</v>
          </cell>
          <cell r="C9433">
            <v>2897.83</v>
          </cell>
        </row>
        <row r="9434">
          <cell r="B9434">
            <v>42995</v>
          </cell>
          <cell r="C9434">
            <v>2897.83</v>
          </cell>
        </row>
        <row r="9435">
          <cell r="B9435">
            <v>42996</v>
          </cell>
          <cell r="C9435">
            <v>2897.83</v>
          </cell>
        </row>
        <row r="9436">
          <cell r="B9436">
            <v>42997</v>
          </cell>
          <cell r="C9436">
            <v>2906.06</v>
          </cell>
        </row>
        <row r="9437">
          <cell r="B9437">
            <v>42998</v>
          </cell>
          <cell r="C9437">
            <v>2904.6</v>
          </cell>
        </row>
        <row r="9438">
          <cell r="B9438">
            <v>42999</v>
          </cell>
          <cell r="C9438">
            <v>2893.18</v>
          </cell>
        </row>
        <row r="9439">
          <cell r="B9439">
            <v>43000</v>
          </cell>
          <cell r="C9439">
            <v>2913.96</v>
          </cell>
        </row>
        <row r="9440">
          <cell r="B9440">
            <v>43001</v>
          </cell>
          <cell r="C9440">
            <v>2900.73</v>
          </cell>
        </row>
        <row r="9441">
          <cell r="B9441">
            <v>43002</v>
          </cell>
          <cell r="C9441">
            <v>2900.73</v>
          </cell>
        </row>
        <row r="9442">
          <cell r="B9442">
            <v>43003</v>
          </cell>
          <cell r="C9442">
            <v>2900.73</v>
          </cell>
        </row>
        <row r="9443">
          <cell r="B9443">
            <v>43004</v>
          </cell>
          <cell r="C9443">
            <v>2924.57</v>
          </cell>
        </row>
        <row r="9444">
          <cell r="B9444">
            <v>43005</v>
          </cell>
          <cell r="C9444">
            <v>2930.7</v>
          </cell>
        </row>
        <row r="9445">
          <cell r="B9445">
            <v>43006</v>
          </cell>
          <cell r="C9445">
            <v>2940.66</v>
          </cell>
        </row>
        <row r="9446">
          <cell r="B9446">
            <v>43007</v>
          </cell>
          <cell r="C9446">
            <v>2941.07</v>
          </cell>
        </row>
        <row r="9447">
          <cell r="B9447">
            <v>43008</v>
          </cell>
          <cell r="C9447">
            <v>2936.67</v>
          </cell>
        </row>
        <row r="9448">
          <cell r="B9448">
            <v>43009</v>
          </cell>
          <cell r="C9448">
            <v>2936.67</v>
          </cell>
        </row>
        <row r="9449">
          <cell r="B9449">
            <v>43010</v>
          </cell>
          <cell r="C9449">
            <v>2936.67</v>
          </cell>
        </row>
        <row r="9450">
          <cell r="B9450">
            <v>43011</v>
          </cell>
          <cell r="C9450">
            <v>2949.33</v>
          </cell>
        </row>
        <row r="9451">
          <cell r="B9451">
            <v>43012</v>
          </cell>
          <cell r="C9451">
            <v>2953.81</v>
          </cell>
        </row>
        <row r="9452">
          <cell r="B9452">
            <v>43013</v>
          </cell>
          <cell r="C9452">
            <v>2945.59</v>
          </cell>
        </row>
        <row r="9453">
          <cell r="B9453">
            <v>43014</v>
          </cell>
          <cell r="C9453">
            <v>2926.82</v>
          </cell>
        </row>
        <row r="9454">
          <cell r="B9454">
            <v>43015</v>
          </cell>
          <cell r="C9454">
            <v>2942.19</v>
          </cell>
        </row>
        <row r="9455">
          <cell r="B9455">
            <v>43016</v>
          </cell>
          <cell r="C9455">
            <v>2942.19</v>
          </cell>
        </row>
        <row r="9456">
          <cell r="B9456">
            <v>43017</v>
          </cell>
          <cell r="C9456">
            <v>2942.19</v>
          </cell>
        </row>
        <row r="9457">
          <cell r="B9457">
            <v>43018</v>
          </cell>
          <cell r="C9457">
            <v>2942.19</v>
          </cell>
        </row>
        <row r="9458">
          <cell r="B9458">
            <v>43019</v>
          </cell>
          <cell r="C9458">
            <v>2947.06</v>
          </cell>
        </row>
        <row r="9459">
          <cell r="B9459">
            <v>43020</v>
          </cell>
          <cell r="C9459">
            <v>2953.77</v>
          </cell>
        </row>
        <row r="9460">
          <cell r="B9460">
            <v>43021</v>
          </cell>
          <cell r="C9460">
            <v>2949.69</v>
          </cell>
        </row>
        <row r="9461">
          <cell r="B9461">
            <v>43022</v>
          </cell>
          <cell r="C9461">
            <v>2932.05</v>
          </cell>
        </row>
        <row r="9462">
          <cell r="B9462">
            <v>43023</v>
          </cell>
          <cell r="C9462">
            <v>2932.05</v>
          </cell>
        </row>
        <row r="9463">
          <cell r="B9463">
            <v>43024</v>
          </cell>
          <cell r="C9463">
            <v>2932.05</v>
          </cell>
        </row>
        <row r="9464">
          <cell r="B9464">
            <v>43025</v>
          </cell>
          <cell r="C9464">
            <v>2932.05</v>
          </cell>
        </row>
        <row r="9465">
          <cell r="B9465">
            <v>43026</v>
          </cell>
          <cell r="C9465">
            <v>2944.27</v>
          </cell>
        </row>
        <row r="9466">
          <cell r="B9466">
            <v>43027</v>
          </cell>
          <cell r="C9466">
            <v>2935.66</v>
          </cell>
        </row>
        <row r="9467">
          <cell r="B9467">
            <v>43028</v>
          </cell>
          <cell r="C9467">
            <v>2921.92</v>
          </cell>
        </row>
        <row r="9468">
          <cell r="B9468">
            <v>43029</v>
          </cell>
          <cell r="C9468">
            <v>2936.66</v>
          </cell>
        </row>
        <row r="9469">
          <cell r="B9469">
            <v>43030</v>
          </cell>
          <cell r="C9469">
            <v>2936.66</v>
          </cell>
        </row>
        <row r="9470">
          <cell r="B9470">
            <v>43031</v>
          </cell>
          <cell r="C9470">
            <v>2936.66</v>
          </cell>
        </row>
        <row r="9471">
          <cell r="B9471">
            <v>43032</v>
          </cell>
          <cell r="C9471">
            <v>2947.69</v>
          </cell>
        </row>
        <row r="9472">
          <cell r="B9472">
            <v>43033</v>
          </cell>
          <cell r="C9472">
            <v>2971.36</v>
          </cell>
        </row>
        <row r="9473">
          <cell r="B9473">
            <v>43034</v>
          </cell>
          <cell r="C9473">
            <v>2989.39</v>
          </cell>
        </row>
        <row r="9474">
          <cell r="B9474">
            <v>43035</v>
          </cell>
          <cell r="C9474">
            <v>3008.8</v>
          </cell>
        </row>
        <row r="9475">
          <cell r="B9475">
            <v>43036</v>
          </cell>
          <cell r="C9475">
            <v>3009.85</v>
          </cell>
        </row>
        <row r="9476">
          <cell r="B9476">
            <v>43037</v>
          </cell>
          <cell r="C9476">
            <v>3009.85</v>
          </cell>
        </row>
        <row r="9477">
          <cell r="B9477">
            <v>43038</v>
          </cell>
          <cell r="C9477">
            <v>3009.85</v>
          </cell>
        </row>
        <row r="9478">
          <cell r="B9478">
            <v>43039</v>
          </cell>
          <cell r="C9478">
            <v>3011.44</v>
          </cell>
        </row>
        <row r="9479">
          <cell r="B9479">
            <v>43040</v>
          </cell>
          <cell r="C9479">
            <v>3039.19</v>
          </cell>
        </row>
        <row r="9480">
          <cell r="B9480">
            <v>43041</v>
          </cell>
          <cell r="C9480">
            <v>3038.56</v>
          </cell>
        </row>
        <row r="9481">
          <cell r="B9481">
            <v>43042</v>
          </cell>
          <cell r="C9481">
            <v>3054.38</v>
          </cell>
        </row>
        <row r="9482">
          <cell r="B9482">
            <v>43043</v>
          </cell>
          <cell r="C9482">
            <v>3055.57</v>
          </cell>
        </row>
        <row r="9483">
          <cell r="B9483">
            <v>43044</v>
          </cell>
          <cell r="C9483">
            <v>3055.57</v>
          </cell>
        </row>
        <row r="9484">
          <cell r="B9484">
            <v>43045</v>
          </cell>
          <cell r="C9484">
            <v>3055.57</v>
          </cell>
        </row>
        <row r="9485">
          <cell r="B9485">
            <v>43046</v>
          </cell>
          <cell r="C9485">
            <v>3055.57</v>
          </cell>
        </row>
        <row r="9486">
          <cell r="B9486">
            <v>43047</v>
          </cell>
          <cell r="C9486">
            <v>3026.94</v>
          </cell>
        </row>
        <row r="9487">
          <cell r="B9487">
            <v>43048</v>
          </cell>
          <cell r="C9487">
            <v>3017.78</v>
          </cell>
        </row>
        <row r="9488">
          <cell r="B9488">
            <v>43049</v>
          </cell>
          <cell r="C9488">
            <v>3015.52</v>
          </cell>
        </row>
        <row r="9489">
          <cell r="B9489">
            <v>43050</v>
          </cell>
          <cell r="C9489">
            <v>3004.88</v>
          </cell>
        </row>
        <row r="9490">
          <cell r="B9490">
            <v>43051</v>
          </cell>
          <cell r="C9490">
            <v>3004.88</v>
          </cell>
        </row>
        <row r="9491">
          <cell r="B9491">
            <v>43052</v>
          </cell>
          <cell r="C9491">
            <v>3004.88</v>
          </cell>
        </row>
        <row r="9492">
          <cell r="B9492">
            <v>43053</v>
          </cell>
          <cell r="C9492">
            <v>3004.88</v>
          </cell>
        </row>
        <row r="9493">
          <cell r="B9493">
            <v>43054</v>
          </cell>
          <cell r="C9493">
            <v>3016.7</v>
          </cell>
        </row>
        <row r="9494">
          <cell r="B9494">
            <v>43055</v>
          </cell>
          <cell r="C9494">
            <v>3023.88</v>
          </cell>
        </row>
        <row r="9495">
          <cell r="B9495">
            <v>43056</v>
          </cell>
          <cell r="C9495">
            <v>3015.79</v>
          </cell>
        </row>
        <row r="9496">
          <cell r="B9496">
            <v>43057</v>
          </cell>
          <cell r="C9496">
            <v>3003.19</v>
          </cell>
        </row>
        <row r="9497">
          <cell r="B9497">
            <v>43058</v>
          </cell>
          <cell r="C9497">
            <v>3003.19</v>
          </cell>
        </row>
        <row r="9498">
          <cell r="B9498">
            <v>43059</v>
          </cell>
          <cell r="C9498">
            <v>3003.19</v>
          </cell>
        </row>
        <row r="9499">
          <cell r="B9499">
            <v>43060</v>
          </cell>
          <cell r="C9499">
            <v>3011.32</v>
          </cell>
        </row>
        <row r="9500">
          <cell r="B9500">
            <v>43061</v>
          </cell>
          <cell r="C9500">
            <v>3001.07</v>
          </cell>
        </row>
        <row r="9501">
          <cell r="B9501">
            <v>43062</v>
          </cell>
          <cell r="C9501">
            <v>2982.73</v>
          </cell>
        </row>
        <row r="9502">
          <cell r="B9502">
            <v>43063</v>
          </cell>
          <cell r="C9502">
            <v>2982.73</v>
          </cell>
        </row>
        <row r="9503">
          <cell r="B9503">
            <v>43064</v>
          </cell>
          <cell r="C9503">
            <v>2976.39</v>
          </cell>
        </row>
        <row r="9504">
          <cell r="B9504">
            <v>43065</v>
          </cell>
          <cell r="C9504">
            <v>2976.39</v>
          </cell>
        </row>
        <row r="9505">
          <cell r="B9505">
            <v>43066</v>
          </cell>
          <cell r="C9505">
            <v>2976.39</v>
          </cell>
        </row>
        <row r="9506">
          <cell r="B9506">
            <v>43067</v>
          </cell>
          <cell r="C9506">
            <v>2986.84</v>
          </cell>
        </row>
        <row r="9507">
          <cell r="B9507">
            <v>43068</v>
          </cell>
          <cell r="C9507">
            <v>3003.94</v>
          </cell>
        </row>
        <row r="9508">
          <cell r="B9508">
            <v>43069</v>
          </cell>
          <cell r="C9508">
            <v>3006.09</v>
          </cell>
        </row>
        <row r="9509">
          <cell r="B9509">
            <v>43070</v>
          </cell>
          <cell r="C9509">
            <v>3006.04</v>
          </cell>
        </row>
        <row r="9510">
          <cell r="B9510">
            <v>43071</v>
          </cell>
          <cell r="C9510">
            <v>3005.76</v>
          </cell>
        </row>
        <row r="9511">
          <cell r="B9511">
            <v>43072</v>
          </cell>
          <cell r="C9511">
            <v>3005.76</v>
          </cell>
        </row>
        <row r="9512">
          <cell r="B9512">
            <v>43073</v>
          </cell>
          <cell r="C9512">
            <v>3005.76</v>
          </cell>
        </row>
        <row r="9513">
          <cell r="B9513">
            <v>43074</v>
          </cell>
          <cell r="C9513">
            <v>2993.49</v>
          </cell>
        </row>
        <row r="9514">
          <cell r="B9514">
            <v>43075</v>
          </cell>
          <cell r="C9514">
            <v>2996.53</v>
          </cell>
        </row>
        <row r="9515">
          <cell r="B9515">
            <v>43076</v>
          </cell>
          <cell r="C9515">
            <v>3007.07</v>
          </cell>
        </row>
        <row r="9516">
          <cell r="B9516">
            <v>43077</v>
          </cell>
          <cell r="C9516">
            <v>3016.18</v>
          </cell>
        </row>
        <row r="9517">
          <cell r="B9517">
            <v>43078</v>
          </cell>
          <cell r="C9517">
            <v>3016.18</v>
          </cell>
        </row>
        <row r="9518">
          <cell r="B9518">
            <v>43079</v>
          </cell>
          <cell r="C9518">
            <v>3016.18</v>
          </cell>
        </row>
        <row r="9519">
          <cell r="B9519">
            <v>43080</v>
          </cell>
          <cell r="C9519">
            <v>3016.18</v>
          </cell>
        </row>
        <row r="9520">
          <cell r="B9520">
            <v>43081</v>
          </cell>
          <cell r="C9520">
            <v>3013.99</v>
          </cell>
        </row>
        <row r="9521">
          <cell r="B9521">
            <v>43082</v>
          </cell>
          <cell r="C9521">
            <v>3029.75</v>
          </cell>
        </row>
        <row r="9522">
          <cell r="B9522">
            <v>43083</v>
          </cell>
          <cell r="C9522">
            <v>3015.41</v>
          </cell>
        </row>
        <row r="9523">
          <cell r="B9523">
            <v>43084</v>
          </cell>
          <cell r="C9523">
            <v>2999.07</v>
          </cell>
        </row>
        <row r="9524">
          <cell r="B9524">
            <v>43085</v>
          </cell>
          <cell r="C9524">
            <v>2996.61</v>
          </cell>
        </row>
        <row r="9525">
          <cell r="B9525">
            <v>43086</v>
          </cell>
          <cell r="C9525">
            <v>2996.61</v>
          </cell>
        </row>
        <row r="9526">
          <cell r="B9526">
            <v>43087</v>
          </cell>
          <cell r="C9526">
            <v>2996.61</v>
          </cell>
        </row>
        <row r="9527">
          <cell r="B9527">
            <v>43088</v>
          </cell>
          <cell r="C9527">
            <v>2975.59</v>
          </cell>
        </row>
        <row r="9528">
          <cell r="B9528">
            <v>43089</v>
          </cell>
          <cell r="C9528">
            <v>2972.05</v>
          </cell>
        </row>
        <row r="9529">
          <cell r="B9529">
            <v>43090</v>
          </cell>
          <cell r="C9529">
            <v>2965.77</v>
          </cell>
        </row>
        <row r="9530">
          <cell r="B9530">
            <v>43091</v>
          </cell>
          <cell r="C9530">
            <v>2963.58</v>
          </cell>
        </row>
        <row r="9531">
          <cell r="B9531">
            <v>43092</v>
          </cell>
          <cell r="C9531">
            <v>2962.14</v>
          </cell>
        </row>
        <row r="9532">
          <cell r="B9532">
            <v>43093</v>
          </cell>
          <cell r="C9532">
            <v>2962.14</v>
          </cell>
        </row>
        <row r="9533">
          <cell r="B9533">
            <v>43094</v>
          </cell>
          <cell r="C9533">
            <v>2962.14</v>
          </cell>
        </row>
        <row r="9534">
          <cell r="B9534">
            <v>43095</v>
          </cell>
          <cell r="C9534">
            <v>2962.14</v>
          </cell>
        </row>
        <row r="9535">
          <cell r="B9535">
            <v>43096</v>
          </cell>
          <cell r="C9535">
            <v>2962.26</v>
          </cell>
        </row>
        <row r="9536">
          <cell r="B9536">
            <v>43097</v>
          </cell>
          <cell r="C9536">
            <v>2971.63</v>
          </cell>
        </row>
        <row r="9537">
          <cell r="B9537">
            <v>43098</v>
          </cell>
          <cell r="C9537">
            <v>2984</v>
          </cell>
        </row>
        <row r="9538">
          <cell r="B9538">
            <v>43099</v>
          </cell>
          <cell r="C9538">
            <v>2984</v>
          </cell>
        </row>
        <row r="9539">
          <cell r="B9539">
            <v>43100</v>
          </cell>
          <cell r="C9539">
            <v>2984</v>
          </cell>
        </row>
        <row r="9540">
          <cell r="B9540">
            <v>43101</v>
          </cell>
          <cell r="C9540">
            <v>2984</v>
          </cell>
        </row>
        <row r="9541">
          <cell r="B9541">
            <v>43102</v>
          </cell>
          <cell r="C9541">
            <v>2984</v>
          </cell>
        </row>
        <row r="9542">
          <cell r="B9542">
            <v>43103</v>
          </cell>
          <cell r="C9542">
            <v>2940.94</v>
          </cell>
        </row>
        <row r="9543">
          <cell r="B9543">
            <v>43104</v>
          </cell>
          <cell r="C9543">
            <v>2908.68</v>
          </cell>
        </row>
        <row r="9544">
          <cell r="B9544">
            <v>43105</v>
          </cell>
          <cell r="C9544">
            <v>2885.76</v>
          </cell>
        </row>
        <row r="9545">
          <cell r="B9545">
            <v>43106</v>
          </cell>
          <cell r="C9545">
            <v>2898.32</v>
          </cell>
        </row>
        <row r="9546">
          <cell r="B9546">
            <v>43107</v>
          </cell>
          <cell r="C9546">
            <v>2898.32</v>
          </cell>
        </row>
        <row r="9547">
          <cell r="B9547">
            <v>43108</v>
          </cell>
          <cell r="C9547">
            <v>2898.32</v>
          </cell>
        </row>
        <row r="9548">
          <cell r="B9548">
            <v>43109</v>
          </cell>
          <cell r="C9548">
            <v>2898.32</v>
          </cell>
        </row>
        <row r="9549">
          <cell r="B9549">
            <v>43110</v>
          </cell>
          <cell r="C9549">
            <v>2914.37</v>
          </cell>
        </row>
        <row r="9550">
          <cell r="B9550">
            <v>43111</v>
          </cell>
          <cell r="C9550">
            <v>2895.69</v>
          </cell>
        </row>
        <row r="9551">
          <cell r="B9551">
            <v>43112</v>
          </cell>
          <cell r="C9551">
            <v>2865.79</v>
          </cell>
        </row>
        <row r="9552">
          <cell r="B9552">
            <v>43113</v>
          </cell>
          <cell r="C9552">
            <v>2855.86</v>
          </cell>
        </row>
        <row r="9553">
          <cell r="B9553">
            <v>43114</v>
          </cell>
          <cell r="C9553">
            <v>2855.86</v>
          </cell>
        </row>
        <row r="9554">
          <cell r="B9554">
            <v>43115</v>
          </cell>
          <cell r="C9554">
            <v>2855.86</v>
          </cell>
        </row>
        <row r="9555">
          <cell r="B9555">
            <v>43116</v>
          </cell>
          <cell r="C9555">
            <v>2855.86</v>
          </cell>
        </row>
        <row r="9556">
          <cell r="B9556">
            <v>43117</v>
          </cell>
          <cell r="C9556">
            <v>2868.03</v>
          </cell>
        </row>
        <row r="9557">
          <cell r="B9557">
            <v>43118</v>
          </cell>
          <cell r="C9557">
            <v>2851.13</v>
          </cell>
        </row>
        <row r="9558">
          <cell r="B9558">
            <v>43119</v>
          </cell>
          <cell r="C9558">
            <v>2836.85</v>
          </cell>
        </row>
        <row r="9559">
          <cell r="B9559">
            <v>43120</v>
          </cell>
          <cell r="C9559">
            <v>2851.75</v>
          </cell>
        </row>
        <row r="9560">
          <cell r="B9560">
            <v>43121</v>
          </cell>
          <cell r="C9560">
            <v>2851.75</v>
          </cell>
        </row>
        <row r="9561">
          <cell r="B9561">
            <v>43122</v>
          </cell>
          <cell r="C9561">
            <v>2851.75</v>
          </cell>
        </row>
        <row r="9562">
          <cell r="B9562">
            <v>43123</v>
          </cell>
          <cell r="C9562">
            <v>2854.2</v>
          </cell>
        </row>
        <row r="9563">
          <cell r="B9563">
            <v>43124</v>
          </cell>
          <cell r="C9563">
            <v>2858.5</v>
          </cell>
        </row>
        <row r="9564">
          <cell r="B9564">
            <v>43125</v>
          </cell>
          <cell r="C9564">
            <v>2820.53</v>
          </cell>
        </row>
        <row r="9565">
          <cell r="B9565">
            <v>43126</v>
          </cell>
          <cell r="C9565">
            <v>2783.13</v>
          </cell>
        </row>
        <row r="9566">
          <cell r="B9566">
            <v>43127</v>
          </cell>
          <cell r="C9566">
            <v>2805.12</v>
          </cell>
        </row>
        <row r="9567">
          <cell r="B9567">
            <v>43128</v>
          </cell>
          <cell r="C9567">
            <v>2805.12</v>
          </cell>
        </row>
        <row r="9568">
          <cell r="B9568">
            <v>43129</v>
          </cell>
          <cell r="C9568">
            <v>2805.12</v>
          </cell>
        </row>
        <row r="9569">
          <cell r="B9569">
            <v>43130</v>
          </cell>
          <cell r="C9569">
            <v>2842.67</v>
          </cell>
        </row>
        <row r="9570">
          <cell r="B9570">
            <v>43131</v>
          </cell>
          <cell r="C9570">
            <v>2844.14</v>
          </cell>
        </row>
        <row r="9571">
          <cell r="B9571">
            <v>43132</v>
          </cell>
          <cell r="C9571">
            <v>2835.05</v>
          </cell>
        </row>
        <row r="9572">
          <cell r="B9572">
            <v>43133</v>
          </cell>
          <cell r="C9572">
            <v>2806.67</v>
          </cell>
        </row>
        <row r="9573">
          <cell r="B9573">
            <v>43134</v>
          </cell>
          <cell r="C9573">
            <v>2832.13</v>
          </cell>
        </row>
        <row r="9574">
          <cell r="B9574">
            <v>43135</v>
          </cell>
          <cell r="C9574">
            <v>2832.13</v>
          </cell>
        </row>
        <row r="9575">
          <cell r="B9575">
            <v>43136</v>
          </cell>
          <cell r="C9575">
            <v>2832.13</v>
          </cell>
        </row>
        <row r="9576">
          <cell r="B9576">
            <v>43137</v>
          </cell>
          <cell r="C9576">
            <v>2843.6</v>
          </cell>
        </row>
        <row r="9577">
          <cell r="B9577">
            <v>43138</v>
          </cell>
          <cell r="C9577">
            <v>2844.83</v>
          </cell>
        </row>
        <row r="9578">
          <cell r="B9578">
            <v>43139</v>
          </cell>
          <cell r="C9578">
            <v>2830.89</v>
          </cell>
        </row>
        <row r="9579">
          <cell r="B9579">
            <v>43140</v>
          </cell>
          <cell r="C9579">
            <v>2862.78</v>
          </cell>
        </row>
        <row r="9580">
          <cell r="B9580">
            <v>43141</v>
          </cell>
          <cell r="C9580">
            <v>2908.7</v>
          </cell>
        </row>
        <row r="9581">
          <cell r="B9581">
            <v>43142</v>
          </cell>
          <cell r="C9581">
            <v>2908.7</v>
          </cell>
        </row>
        <row r="9582">
          <cell r="B9582">
            <v>43143</v>
          </cell>
          <cell r="C9582">
            <v>2908.7</v>
          </cell>
        </row>
        <row r="9583">
          <cell r="B9583">
            <v>43144</v>
          </cell>
          <cell r="C9583">
            <v>2904.29</v>
          </cell>
        </row>
        <row r="9584">
          <cell r="B9584">
            <v>43145</v>
          </cell>
          <cell r="C9584">
            <v>2904.71</v>
          </cell>
        </row>
        <row r="9585">
          <cell r="B9585">
            <v>43146</v>
          </cell>
          <cell r="C9585">
            <v>2895.79</v>
          </cell>
        </row>
        <row r="9586">
          <cell r="B9586">
            <v>43147</v>
          </cell>
          <cell r="C9586">
            <v>2851.74</v>
          </cell>
        </row>
        <row r="9587">
          <cell r="B9587">
            <v>43148</v>
          </cell>
          <cell r="C9587">
            <v>2853.16</v>
          </cell>
        </row>
        <row r="9588">
          <cell r="B9588">
            <v>43149</v>
          </cell>
          <cell r="C9588">
            <v>2853.16</v>
          </cell>
        </row>
        <row r="9589">
          <cell r="B9589">
            <v>43150</v>
          </cell>
          <cell r="C9589">
            <v>2853.16</v>
          </cell>
        </row>
        <row r="9590">
          <cell r="B9590">
            <v>43151</v>
          </cell>
          <cell r="C9590">
            <v>2853.16</v>
          </cell>
        </row>
        <row r="9591">
          <cell r="B9591">
            <v>43152</v>
          </cell>
          <cell r="C9591">
            <v>2862.01</v>
          </cell>
        </row>
        <row r="9592">
          <cell r="B9592">
            <v>43153</v>
          </cell>
          <cell r="C9592">
            <v>2877.94</v>
          </cell>
        </row>
        <row r="9593">
          <cell r="B9593">
            <v>43154</v>
          </cell>
          <cell r="C9593">
            <v>2877.04</v>
          </cell>
        </row>
        <row r="9594">
          <cell r="B9594">
            <v>43155</v>
          </cell>
          <cell r="C9594">
            <v>2849.59</v>
          </cell>
        </row>
        <row r="9595">
          <cell r="B9595">
            <v>43156</v>
          </cell>
          <cell r="C9595">
            <v>2849.59</v>
          </cell>
        </row>
        <row r="9596">
          <cell r="B9596">
            <v>43157</v>
          </cell>
          <cell r="C9596">
            <v>2849.59</v>
          </cell>
        </row>
        <row r="9597">
          <cell r="B9597">
            <v>43158</v>
          </cell>
          <cell r="C9597">
            <v>2849.91</v>
          </cell>
        </row>
        <row r="9598">
          <cell r="B9598">
            <v>43159</v>
          </cell>
          <cell r="C9598">
            <v>2855.93</v>
          </cell>
        </row>
        <row r="9599">
          <cell r="B9599">
            <v>43160</v>
          </cell>
          <cell r="C9599">
            <v>2867.94</v>
          </cell>
        </row>
        <row r="9600">
          <cell r="B9600">
            <v>43161</v>
          </cell>
          <cell r="C9600">
            <v>2879.05</v>
          </cell>
        </row>
        <row r="9601">
          <cell r="B9601">
            <v>43162</v>
          </cell>
          <cell r="C9601">
            <v>2879.15</v>
          </cell>
        </row>
        <row r="9602">
          <cell r="B9602">
            <v>43163</v>
          </cell>
          <cell r="C9602">
            <v>2879.15</v>
          </cell>
        </row>
        <row r="9603">
          <cell r="B9603">
            <v>43164</v>
          </cell>
          <cell r="C9603">
            <v>2879.15</v>
          </cell>
        </row>
        <row r="9604">
          <cell r="B9604">
            <v>43165</v>
          </cell>
          <cell r="C9604">
            <v>2859.09</v>
          </cell>
        </row>
        <row r="9605">
          <cell r="B9605">
            <v>43166</v>
          </cell>
          <cell r="C9605">
            <v>2845.05</v>
          </cell>
        </row>
        <row r="9606">
          <cell r="B9606">
            <v>43167</v>
          </cell>
          <cell r="C9606">
            <v>2858.88</v>
          </cell>
        </row>
        <row r="9607">
          <cell r="B9607">
            <v>43168</v>
          </cell>
          <cell r="C9607">
            <v>2871.36</v>
          </cell>
        </row>
        <row r="9608">
          <cell r="B9608">
            <v>43169</v>
          </cell>
          <cell r="C9608">
            <v>2866.93</v>
          </cell>
        </row>
        <row r="9609">
          <cell r="B9609">
            <v>43170</v>
          </cell>
          <cell r="C9609">
            <v>2866.93</v>
          </cell>
        </row>
        <row r="9610">
          <cell r="B9610">
            <v>43171</v>
          </cell>
          <cell r="C9610">
            <v>2866.93</v>
          </cell>
        </row>
        <row r="9611">
          <cell r="B9611">
            <v>43172</v>
          </cell>
          <cell r="C9611">
            <v>2851.84</v>
          </cell>
        </row>
        <row r="9612">
          <cell r="B9612">
            <v>43173</v>
          </cell>
          <cell r="C9612">
            <v>2848.38</v>
          </cell>
        </row>
        <row r="9613">
          <cell r="B9613">
            <v>43174</v>
          </cell>
          <cell r="C9613">
            <v>2845.76</v>
          </cell>
        </row>
        <row r="9614">
          <cell r="B9614">
            <v>43175</v>
          </cell>
          <cell r="C9614">
            <v>2850.04</v>
          </cell>
        </row>
        <row r="9615">
          <cell r="B9615">
            <v>43176</v>
          </cell>
          <cell r="C9615">
            <v>2852.48</v>
          </cell>
        </row>
        <row r="9616">
          <cell r="B9616">
            <v>43177</v>
          </cell>
          <cell r="C9616">
            <v>2852.48</v>
          </cell>
        </row>
        <row r="9617">
          <cell r="B9617">
            <v>43178</v>
          </cell>
          <cell r="C9617">
            <v>2852.48</v>
          </cell>
        </row>
        <row r="9618">
          <cell r="B9618">
            <v>43179</v>
          </cell>
          <cell r="C9618">
            <v>2852.48</v>
          </cell>
        </row>
        <row r="9619">
          <cell r="B9619">
            <v>43180</v>
          </cell>
          <cell r="C9619">
            <v>2866.92</v>
          </cell>
        </row>
        <row r="9620">
          <cell r="B9620">
            <v>43181</v>
          </cell>
          <cell r="C9620">
            <v>2850.69</v>
          </cell>
        </row>
        <row r="9621">
          <cell r="B9621">
            <v>43182</v>
          </cell>
          <cell r="C9621">
            <v>2857.88</v>
          </cell>
        </row>
        <row r="9622">
          <cell r="B9622">
            <v>43183</v>
          </cell>
          <cell r="C9622">
            <v>2849.01</v>
          </cell>
        </row>
        <row r="9623">
          <cell r="B9623">
            <v>43184</v>
          </cell>
          <cell r="C9623">
            <v>2849.01</v>
          </cell>
        </row>
        <row r="9624">
          <cell r="B9624">
            <v>43185</v>
          </cell>
          <cell r="C9624">
            <v>2849.01</v>
          </cell>
        </row>
        <row r="9625">
          <cell r="B9625">
            <v>43186</v>
          </cell>
          <cell r="C9625">
            <v>2816.33</v>
          </cell>
        </row>
        <row r="9626">
          <cell r="B9626">
            <v>43187</v>
          </cell>
          <cell r="C9626">
            <v>2780.04</v>
          </cell>
        </row>
        <row r="9627">
          <cell r="B9627">
            <v>43188</v>
          </cell>
          <cell r="C9627">
            <v>2780.47</v>
          </cell>
        </row>
        <row r="9628">
          <cell r="B9628">
            <v>43189</v>
          </cell>
          <cell r="C9628">
            <v>2780.47</v>
          </cell>
        </row>
        <row r="9629">
          <cell r="B9629">
            <v>43190</v>
          </cell>
          <cell r="C9629">
            <v>2780.47</v>
          </cell>
        </row>
        <row r="9630">
          <cell r="B9630">
            <v>43191</v>
          </cell>
          <cell r="C9630">
            <v>2780.47</v>
          </cell>
        </row>
        <row r="9631">
          <cell r="B9631">
            <v>43192</v>
          </cell>
          <cell r="C9631">
            <v>2780.47</v>
          </cell>
        </row>
        <row r="9632">
          <cell r="B9632">
            <v>43193</v>
          </cell>
          <cell r="C9632">
            <v>2792.96</v>
          </cell>
        </row>
        <row r="9633">
          <cell r="B9633">
            <v>43194</v>
          </cell>
          <cell r="C9633">
            <v>2778.27</v>
          </cell>
        </row>
        <row r="9634">
          <cell r="B9634">
            <v>43195</v>
          </cell>
          <cell r="C9634">
            <v>2791.57</v>
          </cell>
        </row>
        <row r="9635">
          <cell r="B9635">
            <v>43196</v>
          </cell>
          <cell r="C9635">
            <v>2787.36</v>
          </cell>
        </row>
        <row r="9636">
          <cell r="B9636">
            <v>43197</v>
          </cell>
          <cell r="C9636">
            <v>2791.88</v>
          </cell>
        </row>
        <row r="9637">
          <cell r="B9637">
            <v>43198</v>
          </cell>
          <cell r="C9637">
            <v>2791.88</v>
          </cell>
        </row>
        <row r="9638">
          <cell r="B9638">
            <v>43199</v>
          </cell>
          <cell r="C9638">
            <v>2791.88</v>
          </cell>
        </row>
        <row r="9639">
          <cell r="B9639">
            <v>43200</v>
          </cell>
          <cell r="C9639">
            <v>2781.95</v>
          </cell>
        </row>
        <row r="9640">
          <cell r="B9640">
            <v>43201</v>
          </cell>
          <cell r="C9640">
            <v>2767.82</v>
          </cell>
        </row>
        <row r="9641">
          <cell r="B9641">
            <v>43202</v>
          </cell>
          <cell r="C9641">
            <v>2733.24</v>
          </cell>
        </row>
        <row r="9642">
          <cell r="B9642">
            <v>43203</v>
          </cell>
          <cell r="C9642">
            <v>2710.03</v>
          </cell>
        </row>
        <row r="9643">
          <cell r="B9643">
            <v>43204</v>
          </cell>
          <cell r="C9643">
            <v>2705.34</v>
          </cell>
        </row>
        <row r="9644">
          <cell r="B9644">
            <v>43205</v>
          </cell>
          <cell r="C9644">
            <v>2705.34</v>
          </cell>
        </row>
        <row r="9645">
          <cell r="B9645">
            <v>43206</v>
          </cell>
          <cell r="C9645">
            <v>2705.34</v>
          </cell>
        </row>
        <row r="9646">
          <cell r="B9646">
            <v>43207</v>
          </cell>
          <cell r="C9646">
            <v>2726.47</v>
          </cell>
        </row>
        <row r="9647">
          <cell r="B9647">
            <v>43208</v>
          </cell>
          <cell r="C9647">
            <v>2725.66</v>
          </cell>
        </row>
        <row r="9648">
          <cell r="B9648">
            <v>43209</v>
          </cell>
          <cell r="C9648">
            <v>2705.64</v>
          </cell>
        </row>
        <row r="9649">
          <cell r="B9649">
            <v>43210</v>
          </cell>
          <cell r="C9649">
            <v>2724.47</v>
          </cell>
        </row>
        <row r="9650">
          <cell r="B9650">
            <v>43211</v>
          </cell>
          <cell r="C9650">
            <v>2757.96</v>
          </cell>
        </row>
        <row r="9651">
          <cell r="B9651">
            <v>43212</v>
          </cell>
          <cell r="C9651">
            <v>2757.96</v>
          </cell>
        </row>
        <row r="9652">
          <cell r="B9652">
            <v>43213</v>
          </cell>
          <cell r="C9652">
            <v>2757.96</v>
          </cell>
        </row>
        <row r="9653">
          <cell r="B9653">
            <v>43214</v>
          </cell>
          <cell r="C9653">
            <v>2799.45</v>
          </cell>
        </row>
        <row r="9654">
          <cell r="B9654">
            <v>43215</v>
          </cell>
          <cell r="C9654">
            <v>2785.22</v>
          </cell>
        </row>
        <row r="9655">
          <cell r="B9655">
            <v>43216</v>
          </cell>
          <cell r="C9655">
            <v>2820.29</v>
          </cell>
        </row>
        <row r="9656">
          <cell r="B9656">
            <v>43217</v>
          </cell>
          <cell r="C9656">
            <v>2812.83</v>
          </cell>
        </row>
        <row r="9657">
          <cell r="B9657">
            <v>43218</v>
          </cell>
          <cell r="C9657">
            <v>2806.28</v>
          </cell>
        </row>
        <row r="9658">
          <cell r="B9658">
            <v>43219</v>
          </cell>
          <cell r="C9658">
            <v>2806.28</v>
          </cell>
        </row>
        <row r="9659">
          <cell r="B9659">
            <v>43220</v>
          </cell>
          <cell r="C9659">
            <v>2806.28</v>
          </cell>
        </row>
        <row r="9660">
          <cell r="B9660">
            <v>43221</v>
          </cell>
          <cell r="C9660">
            <v>2809.92</v>
          </cell>
        </row>
        <row r="9661">
          <cell r="B9661">
            <v>43222</v>
          </cell>
          <cell r="C9661">
            <v>2809.92</v>
          </cell>
        </row>
        <row r="9662">
          <cell r="B9662">
            <v>43223</v>
          </cell>
          <cell r="C9662">
            <v>2831.99</v>
          </cell>
        </row>
        <row r="9663">
          <cell r="B9663">
            <v>43224</v>
          </cell>
          <cell r="C9663">
            <v>2857.85</v>
          </cell>
        </row>
        <row r="9664">
          <cell r="B9664">
            <v>43225</v>
          </cell>
          <cell r="C9664">
            <v>2843.41</v>
          </cell>
        </row>
        <row r="9665">
          <cell r="B9665">
            <v>43226</v>
          </cell>
          <cell r="C9665">
            <v>2843.41</v>
          </cell>
        </row>
        <row r="9666">
          <cell r="B9666">
            <v>43227</v>
          </cell>
          <cell r="C9666">
            <v>2843.41</v>
          </cell>
        </row>
        <row r="9667">
          <cell r="B9667">
            <v>43228</v>
          </cell>
          <cell r="C9667">
            <v>2817.2</v>
          </cell>
        </row>
        <row r="9668">
          <cell r="B9668">
            <v>43229</v>
          </cell>
          <cell r="C9668">
            <v>2866</v>
          </cell>
        </row>
        <row r="9669">
          <cell r="B9669">
            <v>43230</v>
          </cell>
          <cell r="C9669">
            <v>2859.51</v>
          </cell>
        </row>
        <row r="9670">
          <cell r="B9670">
            <v>43231</v>
          </cell>
          <cell r="C9670">
            <v>2822.37</v>
          </cell>
        </row>
        <row r="9671">
          <cell r="B9671">
            <v>43232</v>
          </cell>
          <cell r="C9671">
            <v>2824.05</v>
          </cell>
        </row>
        <row r="9672">
          <cell r="B9672">
            <v>43233</v>
          </cell>
          <cell r="C9672">
            <v>2824.05</v>
          </cell>
        </row>
        <row r="9673">
          <cell r="B9673">
            <v>43234</v>
          </cell>
          <cell r="C9673">
            <v>2824.05</v>
          </cell>
        </row>
        <row r="9674">
          <cell r="B9674">
            <v>43235</v>
          </cell>
          <cell r="C9674">
            <v>2824.05</v>
          </cell>
        </row>
        <row r="9675">
          <cell r="B9675">
            <v>43236</v>
          </cell>
          <cell r="C9675">
            <v>2889.87</v>
          </cell>
        </row>
        <row r="9676">
          <cell r="B9676">
            <v>43237</v>
          </cell>
          <cell r="C9676">
            <v>2865.37</v>
          </cell>
        </row>
        <row r="9677">
          <cell r="B9677">
            <v>43238</v>
          </cell>
          <cell r="C9677">
            <v>2886.23</v>
          </cell>
        </row>
        <row r="9678">
          <cell r="B9678">
            <v>43239</v>
          </cell>
          <cell r="C9678">
            <v>2925.67</v>
          </cell>
        </row>
        <row r="9679">
          <cell r="B9679">
            <v>43240</v>
          </cell>
          <cell r="C9679">
            <v>2925.67</v>
          </cell>
        </row>
        <row r="9680">
          <cell r="B9680">
            <v>43241</v>
          </cell>
          <cell r="C9680">
            <v>2925.67</v>
          </cell>
        </row>
        <row r="9681">
          <cell r="B9681">
            <v>43242</v>
          </cell>
          <cell r="C9681">
            <v>2897.37</v>
          </cell>
        </row>
        <row r="9682">
          <cell r="B9682">
            <v>43243</v>
          </cell>
          <cell r="C9682">
            <v>2851.42</v>
          </cell>
        </row>
        <row r="9683">
          <cell r="B9683">
            <v>43244</v>
          </cell>
          <cell r="C9683">
            <v>2863.24</v>
          </cell>
        </row>
        <row r="9684">
          <cell r="B9684">
            <v>43245</v>
          </cell>
          <cell r="C9684">
            <v>2863.12</v>
          </cell>
        </row>
        <row r="9685">
          <cell r="B9685">
            <v>43246</v>
          </cell>
          <cell r="C9685">
            <v>2887.16</v>
          </cell>
        </row>
        <row r="9686">
          <cell r="B9686">
            <v>43247</v>
          </cell>
          <cell r="C9686">
            <v>2887.16</v>
          </cell>
        </row>
        <row r="9687">
          <cell r="B9687">
            <v>43248</v>
          </cell>
          <cell r="C9687">
            <v>2887.16</v>
          </cell>
        </row>
        <row r="9688">
          <cell r="B9688">
            <v>43249</v>
          </cell>
          <cell r="C9688">
            <v>2887.16</v>
          </cell>
        </row>
        <row r="9689">
          <cell r="B9689">
            <v>43250</v>
          </cell>
          <cell r="C9689">
            <v>2893.82</v>
          </cell>
        </row>
        <row r="9690">
          <cell r="B9690">
            <v>43251</v>
          </cell>
          <cell r="C9690">
            <v>2879.32</v>
          </cell>
        </row>
        <row r="9691">
          <cell r="B9691">
            <v>43252</v>
          </cell>
          <cell r="C9691">
            <v>2889.32</v>
          </cell>
        </row>
        <row r="9692">
          <cell r="B9692">
            <v>43253</v>
          </cell>
          <cell r="C9692">
            <v>2868.22</v>
          </cell>
        </row>
        <row r="9693">
          <cell r="B9693">
            <v>43254</v>
          </cell>
          <cell r="C9693">
            <v>2868.22</v>
          </cell>
        </row>
        <row r="9694">
          <cell r="B9694">
            <v>43255</v>
          </cell>
          <cell r="C9694">
            <v>2868.22</v>
          </cell>
        </row>
        <row r="9695">
          <cell r="B9695">
            <v>43256</v>
          </cell>
          <cell r="C9695">
            <v>2868.22</v>
          </cell>
        </row>
        <row r="9696">
          <cell r="B9696">
            <v>43257</v>
          </cell>
          <cell r="C9696">
            <v>2865.37</v>
          </cell>
        </row>
        <row r="9697">
          <cell r="B9697">
            <v>43258</v>
          </cell>
          <cell r="C9697">
            <v>2828.42</v>
          </cell>
        </row>
        <row r="9698">
          <cell r="B9698">
            <v>43259</v>
          </cell>
          <cell r="C9698">
            <v>2835.78</v>
          </cell>
        </row>
        <row r="9699">
          <cell r="B9699">
            <v>43260</v>
          </cell>
          <cell r="C9699">
            <v>2855.8</v>
          </cell>
        </row>
        <row r="9700">
          <cell r="B9700">
            <v>43261</v>
          </cell>
          <cell r="C9700">
            <v>2855.8</v>
          </cell>
        </row>
        <row r="9701">
          <cell r="B9701">
            <v>43262</v>
          </cell>
          <cell r="C9701">
            <v>2855.8</v>
          </cell>
        </row>
        <row r="9702">
          <cell r="B9702">
            <v>43263</v>
          </cell>
          <cell r="C9702">
            <v>2855.8</v>
          </cell>
        </row>
        <row r="9703">
          <cell r="B9703">
            <v>43264</v>
          </cell>
          <cell r="C9703">
            <v>2857.11</v>
          </cell>
        </row>
        <row r="9704">
          <cell r="B9704">
            <v>43265</v>
          </cell>
          <cell r="C9704">
            <v>2859.17</v>
          </cell>
        </row>
        <row r="9705">
          <cell r="B9705">
            <v>43266</v>
          </cell>
          <cell r="C9705">
            <v>2859.78</v>
          </cell>
        </row>
        <row r="9706">
          <cell r="B9706">
            <v>43267</v>
          </cell>
          <cell r="C9706">
            <v>2890.06</v>
          </cell>
        </row>
        <row r="9707">
          <cell r="B9707">
            <v>43268</v>
          </cell>
          <cell r="C9707">
            <v>2890.06</v>
          </cell>
        </row>
        <row r="9708">
          <cell r="B9708">
            <v>43269</v>
          </cell>
          <cell r="C9708">
            <v>2890.06</v>
          </cell>
        </row>
        <row r="9709">
          <cell r="B9709">
            <v>43270</v>
          </cell>
          <cell r="C9709">
            <v>2919.14</v>
          </cell>
        </row>
        <row r="9710">
          <cell r="B9710">
            <v>43271</v>
          </cell>
          <cell r="C9710">
            <v>2931.78</v>
          </cell>
        </row>
        <row r="9711">
          <cell r="B9711">
            <v>43272</v>
          </cell>
          <cell r="C9711">
            <v>2916.49</v>
          </cell>
        </row>
        <row r="9712">
          <cell r="B9712">
            <v>43273</v>
          </cell>
          <cell r="C9712">
            <v>2944.82</v>
          </cell>
        </row>
        <row r="9713">
          <cell r="B9713">
            <v>43274</v>
          </cell>
          <cell r="C9713">
            <v>2918.22</v>
          </cell>
        </row>
        <row r="9714">
          <cell r="B9714">
            <v>43275</v>
          </cell>
          <cell r="C9714">
            <v>2918.22</v>
          </cell>
        </row>
        <row r="9715">
          <cell r="B9715">
            <v>43276</v>
          </cell>
          <cell r="C9715">
            <v>2918.22</v>
          </cell>
        </row>
        <row r="9716">
          <cell r="B9716">
            <v>43277</v>
          </cell>
          <cell r="C9716">
            <v>2927.67</v>
          </cell>
        </row>
        <row r="9717">
          <cell r="B9717">
            <v>43278</v>
          </cell>
          <cell r="C9717">
            <v>2924.1</v>
          </cell>
        </row>
        <row r="9718">
          <cell r="B9718">
            <v>43279</v>
          </cell>
          <cell r="C9718">
            <v>2934.91</v>
          </cell>
        </row>
        <row r="9719">
          <cell r="B9719">
            <v>43280</v>
          </cell>
          <cell r="C9719">
            <v>2945.09</v>
          </cell>
        </row>
        <row r="9720">
          <cell r="B9720">
            <v>43281</v>
          </cell>
          <cell r="C9720">
            <v>2930.8</v>
          </cell>
        </row>
        <row r="9721">
          <cell r="B9721">
            <v>43282</v>
          </cell>
          <cell r="C9721">
            <v>2930.8</v>
          </cell>
        </row>
        <row r="9722">
          <cell r="B9722">
            <v>43283</v>
          </cell>
          <cell r="C9722">
            <v>2930.8</v>
          </cell>
        </row>
        <row r="9723">
          <cell r="B9723">
            <v>43284</v>
          </cell>
          <cell r="C9723">
            <v>2930.8</v>
          </cell>
        </row>
        <row r="9724">
          <cell r="B9724">
            <v>43285</v>
          </cell>
          <cell r="C9724">
            <v>2909.83</v>
          </cell>
        </row>
        <row r="9725">
          <cell r="B9725">
            <v>43286</v>
          </cell>
          <cell r="C9725">
            <v>2909.83</v>
          </cell>
        </row>
        <row r="9726">
          <cell r="B9726">
            <v>43287</v>
          </cell>
          <cell r="C9726">
            <v>2885.53</v>
          </cell>
        </row>
        <row r="9727">
          <cell r="B9727">
            <v>43288</v>
          </cell>
          <cell r="C9727">
            <v>2867.94</v>
          </cell>
        </row>
        <row r="9728">
          <cell r="B9728">
            <v>43289</v>
          </cell>
          <cell r="C9728">
            <v>2867.94</v>
          </cell>
        </row>
        <row r="9729">
          <cell r="B9729">
            <v>43290</v>
          </cell>
          <cell r="C9729">
            <v>2867.94</v>
          </cell>
        </row>
        <row r="9730">
          <cell r="B9730">
            <v>43291</v>
          </cell>
          <cell r="C9730">
            <v>2881.09</v>
          </cell>
        </row>
        <row r="9731">
          <cell r="B9731">
            <v>43292</v>
          </cell>
          <cell r="C9731">
            <v>2872.62</v>
          </cell>
        </row>
        <row r="9732">
          <cell r="B9732">
            <v>43293</v>
          </cell>
          <cell r="C9732">
            <v>2880.1</v>
          </cell>
        </row>
        <row r="9733">
          <cell r="B9733">
            <v>43294</v>
          </cell>
          <cell r="C9733">
            <v>2882.02</v>
          </cell>
        </row>
        <row r="9734">
          <cell r="B9734">
            <v>43295</v>
          </cell>
          <cell r="C9734">
            <v>2861.7</v>
          </cell>
        </row>
        <row r="9735">
          <cell r="B9735">
            <v>43296</v>
          </cell>
          <cell r="C9735">
            <v>2861.7</v>
          </cell>
        </row>
        <row r="9736">
          <cell r="B9736">
            <v>43297</v>
          </cell>
          <cell r="C9736">
            <v>2861.7</v>
          </cell>
        </row>
        <row r="9737">
          <cell r="B9737">
            <v>43298</v>
          </cell>
          <cell r="C9737">
            <v>2868.96</v>
          </cell>
        </row>
        <row r="9738">
          <cell r="B9738">
            <v>43299</v>
          </cell>
          <cell r="C9738">
            <v>2878.28</v>
          </cell>
        </row>
        <row r="9739">
          <cell r="B9739">
            <v>43300</v>
          </cell>
          <cell r="C9739">
            <v>2876.93</v>
          </cell>
        </row>
        <row r="9740">
          <cell r="B9740">
            <v>43301</v>
          </cell>
          <cell r="C9740">
            <v>2883.81</v>
          </cell>
        </row>
        <row r="9741">
          <cell r="B9741">
            <v>43302</v>
          </cell>
          <cell r="C9741">
            <v>2883.81</v>
          </cell>
        </row>
        <row r="9742">
          <cell r="B9742">
            <v>43303</v>
          </cell>
          <cell r="C9742">
            <v>2883.81</v>
          </cell>
        </row>
        <row r="9743">
          <cell r="B9743">
            <v>43304</v>
          </cell>
          <cell r="C9743">
            <v>2883.81</v>
          </cell>
        </row>
        <row r="9744">
          <cell r="B9744">
            <v>43305</v>
          </cell>
          <cell r="C9744">
            <v>2897.73</v>
          </cell>
        </row>
        <row r="9745">
          <cell r="B9745">
            <v>43306</v>
          </cell>
          <cell r="C9745">
            <v>2898.36</v>
          </cell>
        </row>
        <row r="9746">
          <cell r="B9746">
            <v>43307</v>
          </cell>
          <cell r="C9746">
            <v>2882.84</v>
          </cell>
        </row>
        <row r="9747">
          <cell r="B9747">
            <v>43308</v>
          </cell>
          <cell r="C9747">
            <v>2886.21</v>
          </cell>
        </row>
        <row r="9748">
          <cell r="B9748">
            <v>43309</v>
          </cell>
          <cell r="C9748">
            <v>2880.79</v>
          </cell>
        </row>
        <row r="9749">
          <cell r="B9749">
            <v>43310</v>
          </cell>
          <cell r="C9749">
            <v>2880.79</v>
          </cell>
        </row>
        <row r="9750">
          <cell r="B9750">
            <v>43311</v>
          </cell>
          <cell r="C9750">
            <v>2880.79</v>
          </cell>
        </row>
        <row r="9751">
          <cell r="B9751">
            <v>43312</v>
          </cell>
          <cell r="C9751">
            <v>2875.72</v>
          </cell>
        </row>
        <row r="9752">
          <cell r="B9752">
            <v>43313</v>
          </cell>
          <cell r="C9752">
            <v>2886.8</v>
          </cell>
        </row>
        <row r="9753">
          <cell r="B9753">
            <v>43314</v>
          </cell>
          <cell r="C9753">
            <v>2892.62</v>
          </cell>
        </row>
        <row r="9754">
          <cell r="B9754">
            <v>43315</v>
          </cell>
          <cell r="C9754">
            <v>2904.9</v>
          </cell>
        </row>
        <row r="9755">
          <cell r="B9755">
            <v>43316</v>
          </cell>
          <cell r="C9755">
            <v>2898.99</v>
          </cell>
        </row>
        <row r="9756">
          <cell r="B9756">
            <v>43317</v>
          </cell>
          <cell r="C9756">
            <v>2898.99</v>
          </cell>
        </row>
        <row r="9757">
          <cell r="B9757">
            <v>43318</v>
          </cell>
          <cell r="C9757">
            <v>2898.99</v>
          </cell>
        </row>
        <row r="9758">
          <cell r="B9758">
            <v>43319</v>
          </cell>
          <cell r="C9758">
            <v>2898.86</v>
          </cell>
        </row>
        <row r="9759">
          <cell r="B9759">
            <v>43320</v>
          </cell>
          <cell r="C9759">
            <v>2898.86</v>
          </cell>
        </row>
        <row r="9760">
          <cell r="B9760">
            <v>43321</v>
          </cell>
          <cell r="C9760">
            <v>2908.9</v>
          </cell>
        </row>
        <row r="9761">
          <cell r="B9761">
            <v>43322</v>
          </cell>
          <cell r="C9761">
            <v>2919.44</v>
          </cell>
        </row>
        <row r="9762">
          <cell r="B9762">
            <v>43323</v>
          </cell>
          <cell r="C9762">
            <v>2940.95</v>
          </cell>
        </row>
        <row r="9763">
          <cell r="B9763">
            <v>43324</v>
          </cell>
          <cell r="C9763">
            <v>2940.95</v>
          </cell>
        </row>
        <row r="9764">
          <cell r="B9764">
            <v>43325</v>
          </cell>
          <cell r="C9764">
            <v>2940.95</v>
          </cell>
        </row>
        <row r="9765">
          <cell r="B9765">
            <v>43326</v>
          </cell>
          <cell r="C9765">
            <v>2983.93</v>
          </cell>
        </row>
        <row r="9766">
          <cell r="B9766">
            <v>43327</v>
          </cell>
          <cell r="C9766">
            <v>3002.66</v>
          </cell>
        </row>
        <row r="9767">
          <cell r="B9767">
            <v>43328</v>
          </cell>
          <cell r="C9767">
            <v>3046.76</v>
          </cell>
        </row>
        <row r="9768">
          <cell r="B9768">
            <v>43329</v>
          </cell>
          <cell r="C9768">
            <v>3019.55</v>
          </cell>
        </row>
        <row r="9769">
          <cell r="B9769">
            <v>43330</v>
          </cell>
          <cell r="C9769">
            <v>3024.02</v>
          </cell>
        </row>
        <row r="9770">
          <cell r="B9770">
            <v>43331</v>
          </cell>
          <cell r="C9770">
            <v>3024.02</v>
          </cell>
        </row>
        <row r="9771">
          <cell r="B9771">
            <v>43332</v>
          </cell>
          <cell r="C9771">
            <v>3024.02</v>
          </cell>
        </row>
        <row r="9772">
          <cell r="B9772">
            <v>43333</v>
          </cell>
          <cell r="C9772">
            <v>3024.02</v>
          </cell>
        </row>
        <row r="9773">
          <cell r="B9773">
            <v>43334</v>
          </cell>
          <cell r="C9773">
            <v>2990.78</v>
          </cell>
        </row>
        <row r="9774">
          <cell r="B9774">
            <v>43335</v>
          </cell>
          <cell r="C9774">
            <v>2965.45</v>
          </cell>
        </row>
        <row r="9775">
          <cell r="B9775">
            <v>43336</v>
          </cell>
          <cell r="C9775">
            <v>2980.64</v>
          </cell>
        </row>
        <row r="9776">
          <cell r="B9776">
            <v>43337</v>
          </cell>
          <cell r="C9776">
            <v>2958.45</v>
          </cell>
        </row>
        <row r="9777">
          <cell r="B9777">
            <v>43338</v>
          </cell>
          <cell r="C9777">
            <v>2958.45</v>
          </cell>
        </row>
        <row r="9778">
          <cell r="B9778">
            <v>43339</v>
          </cell>
          <cell r="C9778">
            <v>2958.45</v>
          </cell>
        </row>
        <row r="9779">
          <cell r="B9779">
            <v>43340</v>
          </cell>
          <cell r="C9779">
            <v>2934.31</v>
          </cell>
        </row>
        <row r="9780">
          <cell r="B9780">
            <v>43341</v>
          </cell>
          <cell r="C9780">
            <v>2966</v>
          </cell>
        </row>
        <row r="9781">
          <cell r="B9781">
            <v>43342</v>
          </cell>
          <cell r="C9781">
            <v>2999.57</v>
          </cell>
        </row>
        <row r="9782">
          <cell r="B9782">
            <v>43343</v>
          </cell>
          <cell r="C9782">
            <v>3027.39</v>
          </cell>
        </row>
        <row r="9783">
          <cell r="B9783">
            <v>43344</v>
          </cell>
          <cell r="C9783">
            <v>3053.14</v>
          </cell>
        </row>
        <row r="9784">
          <cell r="B9784">
            <v>43345</v>
          </cell>
          <cell r="C9784">
            <v>3053.14</v>
          </cell>
        </row>
        <row r="9785">
          <cell r="B9785">
            <v>43346</v>
          </cell>
          <cell r="C9785">
            <v>3053.14</v>
          </cell>
        </row>
        <row r="9786">
          <cell r="B9786">
            <v>43347</v>
          </cell>
          <cell r="C9786">
            <v>3053.14</v>
          </cell>
        </row>
        <row r="9787">
          <cell r="B9787">
            <v>43348</v>
          </cell>
          <cell r="C9787">
            <v>3088.47</v>
          </cell>
        </row>
        <row r="9788">
          <cell r="B9788">
            <v>43349</v>
          </cell>
          <cell r="C9788">
            <v>3100.37</v>
          </cell>
        </row>
        <row r="9789">
          <cell r="B9789">
            <v>43350</v>
          </cell>
          <cell r="C9789">
            <v>3089.47</v>
          </cell>
        </row>
        <row r="9790">
          <cell r="B9790">
            <v>43351</v>
          </cell>
          <cell r="C9790">
            <v>3070.15</v>
          </cell>
        </row>
        <row r="9791">
          <cell r="B9791">
            <v>43352</v>
          </cell>
          <cell r="C9791">
            <v>3070.15</v>
          </cell>
        </row>
        <row r="9792">
          <cell r="B9792">
            <v>43353</v>
          </cell>
          <cell r="C9792">
            <v>3070.15</v>
          </cell>
        </row>
        <row r="9793">
          <cell r="B9793">
            <v>43354</v>
          </cell>
          <cell r="C9793">
            <v>3069.49</v>
          </cell>
        </row>
        <row r="9794">
          <cell r="B9794">
            <v>43355</v>
          </cell>
          <cell r="C9794">
            <v>3087.73</v>
          </cell>
        </row>
        <row r="9795">
          <cell r="B9795">
            <v>43356</v>
          </cell>
          <cell r="C9795">
            <v>3055.01</v>
          </cell>
        </row>
        <row r="9796">
          <cell r="B9796">
            <v>43357</v>
          </cell>
          <cell r="C9796">
            <v>3019.38</v>
          </cell>
        </row>
        <row r="9797">
          <cell r="B9797">
            <v>43358</v>
          </cell>
          <cell r="C9797">
            <v>3026.05</v>
          </cell>
        </row>
        <row r="9798">
          <cell r="B9798">
            <v>43359</v>
          </cell>
          <cell r="C9798">
            <v>3026.05</v>
          </cell>
        </row>
        <row r="9799">
          <cell r="B9799">
            <v>43360</v>
          </cell>
          <cell r="C9799">
            <v>3026.05</v>
          </cell>
        </row>
        <row r="9800">
          <cell r="B9800">
            <v>43361</v>
          </cell>
          <cell r="C9800">
            <v>3013.38</v>
          </cell>
        </row>
        <row r="9801">
          <cell r="B9801">
            <v>43362</v>
          </cell>
          <cell r="C9801">
            <v>3007.03</v>
          </cell>
        </row>
        <row r="9802">
          <cell r="B9802">
            <v>43363</v>
          </cell>
          <cell r="C9802">
            <v>3018.63</v>
          </cell>
        </row>
        <row r="9803">
          <cell r="B9803">
            <v>43364</v>
          </cell>
          <cell r="C9803">
            <v>3014.18</v>
          </cell>
        </row>
        <row r="9804">
          <cell r="B9804">
            <v>43365</v>
          </cell>
          <cell r="C9804">
            <v>3006.96</v>
          </cell>
        </row>
        <row r="9805">
          <cell r="B9805">
            <v>43366</v>
          </cell>
          <cell r="C9805">
            <v>3006.96</v>
          </cell>
        </row>
        <row r="9806">
          <cell r="B9806">
            <v>43367</v>
          </cell>
          <cell r="C9806">
            <v>3006.96</v>
          </cell>
        </row>
        <row r="9807">
          <cell r="B9807">
            <v>43368</v>
          </cell>
          <cell r="C9807">
            <v>2991.9</v>
          </cell>
        </row>
        <row r="9808">
          <cell r="B9808">
            <v>43369</v>
          </cell>
          <cell r="C9808">
            <v>3001.88</v>
          </cell>
        </row>
        <row r="9809">
          <cell r="B9809">
            <v>43370</v>
          </cell>
          <cell r="C9809">
            <v>3000.14</v>
          </cell>
        </row>
        <row r="9810">
          <cell r="B9810">
            <v>43371</v>
          </cell>
          <cell r="C9810">
            <v>2989.58</v>
          </cell>
        </row>
        <row r="9811">
          <cell r="B9811">
            <v>43372</v>
          </cell>
          <cell r="C9811">
            <v>2972.18</v>
          </cell>
        </row>
        <row r="9812">
          <cell r="B9812">
            <v>43373</v>
          </cell>
          <cell r="C9812">
            <v>2972.18</v>
          </cell>
        </row>
        <row r="9813">
          <cell r="B9813">
            <v>43374</v>
          </cell>
          <cell r="C9813">
            <v>2972.18</v>
          </cell>
        </row>
        <row r="9814">
          <cell r="B9814">
            <v>43375</v>
          </cell>
          <cell r="C9814">
            <v>2993.74</v>
          </cell>
        </row>
        <row r="9815">
          <cell r="B9815">
            <v>43376</v>
          </cell>
          <cell r="C9815">
            <v>3005.5</v>
          </cell>
        </row>
        <row r="9816">
          <cell r="B9816">
            <v>43377</v>
          </cell>
          <cell r="C9816">
            <v>3012.65</v>
          </cell>
        </row>
        <row r="9817">
          <cell r="B9817">
            <v>43378</v>
          </cell>
          <cell r="C9817">
            <v>3028.16</v>
          </cell>
        </row>
        <row r="9818">
          <cell r="B9818">
            <v>43379</v>
          </cell>
          <cell r="C9818">
            <v>3031.31</v>
          </cell>
        </row>
        <row r="9819">
          <cell r="B9819">
            <v>43380</v>
          </cell>
          <cell r="C9819">
            <v>3031.31</v>
          </cell>
        </row>
        <row r="9820">
          <cell r="B9820">
            <v>43381</v>
          </cell>
          <cell r="C9820">
            <v>3031.31</v>
          </cell>
        </row>
        <row r="9821">
          <cell r="B9821">
            <v>43382</v>
          </cell>
          <cell r="C9821">
            <v>3031.31</v>
          </cell>
        </row>
        <row r="9822">
          <cell r="B9822">
            <v>43383</v>
          </cell>
          <cell r="C9822">
            <v>3057.55</v>
          </cell>
        </row>
        <row r="9823">
          <cell r="B9823">
            <v>43384</v>
          </cell>
          <cell r="C9823">
            <v>3090.3</v>
          </cell>
        </row>
        <row r="9824">
          <cell r="B9824">
            <v>43385</v>
          </cell>
          <cell r="C9824">
            <v>3087.34</v>
          </cell>
        </row>
        <row r="9825">
          <cell r="B9825">
            <v>43386</v>
          </cell>
          <cell r="C9825">
            <v>3088.78</v>
          </cell>
        </row>
        <row r="9826">
          <cell r="B9826">
            <v>43387</v>
          </cell>
          <cell r="C9826">
            <v>3088.78</v>
          </cell>
        </row>
        <row r="9827">
          <cell r="B9827">
            <v>43388</v>
          </cell>
          <cell r="C9827">
            <v>3088.78</v>
          </cell>
        </row>
        <row r="9828">
          <cell r="B9828">
            <v>43389</v>
          </cell>
          <cell r="C9828">
            <v>3088.78</v>
          </cell>
        </row>
        <row r="9829">
          <cell r="B9829">
            <v>43390</v>
          </cell>
          <cell r="C9829">
            <v>3055.93</v>
          </cell>
        </row>
        <row r="9830">
          <cell r="B9830">
            <v>43391</v>
          </cell>
          <cell r="C9830">
            <v>3056.37</v>
          </cell>
        </row>
        <row r="9831">
          <cell r="B9831">
            <v>43392</v>
          </cell>
          <cell r="C9831">
            <v>3088.47</v>
          </cell>
        </row>
        <row r="9832">
          <cell r="B9832">
            <v>43393</v>
          </cell>
          <cell r="C9832">
            <v>3079.88</v>
          </cell>
        </row>
        <row r="9833">
          <cell r="B9833">
            <v>43394</v>
          </cell>
          <cell r="C9833">
            <v>3079.88</v>
          </cell>
        </row>
        <row r="9834">
          <cell r="B9834">
            <v>43395</v>
          </cell>
          <cell r="C9834">
            <v>3079.88</v>
          </cell>
        </row>
        <row r="9835">
          <cell r="B9835">
            <v>43396</v>
          </cell>
          <cell r="C9835">
            <v>3087.58</v>
          </cell>
        </row>
        <row r="9836">
          <cell r="B9836">
            <v>43397</v>
          </cell>
          <cell r="C9836">
            <v>3110.2</v>
          </cell>
        </row>
        <row r="9837">
          <cell r="B9837">
            <v>43398</v>
          </cell>
          <cell r="C9837">
            <v>3149.7</v>
          </cell>
        </row>
        <row r="9838">
          <cell r="B9838">
            <v>43399</v>
          </cell>
          <cell r="C9838">
            <v>3167.18</v>
          </cell>
        </row>
        <row r="9839">
          <cell r="B9839">
            <v>43400</v>
          </cell>
          <cell r="C9839">
            <v>3185.26</v>
          </cell>
        </row>
        <row r="9840">
          <cell r="B9840">
            <v>43401</v>
          </cell>
          <cell r="C9840">
            <v>3185.26</v>
          </cell>
        </row>
        <row r="9841">
          <cell r="B9841">
            <v>43402</v>
          </cell>
          <cell r="C9841">
            <v>3185.26</v>
          </cell>
        </row>
        <row r="9842">
          <cell r="B9842">
            <v>43403</v>
          </cell>
          <cell r="C9842">
            <v>3188.69</v>
          </cell>
        </row>
        <row r="9843">
          <cell r="B9843">
            <v>43404</v>
          </cell>
          <cell r="C9843">
            <v>3202.44</v>
          </cell>
        </row>
        <row r="9844">
          <cell r="B9844">
            <v>43405</v>
          </cell>
          <cell r="C9844">
            <v>3219.85</v>
          </cell>
        </row>
        <row r="9845">
          <cell r="B9845">
            <v>43406</v>
          </cell>
          <cell r="C9845">
            <v>3193.8</v>
          </cell>
        </row>
        <row r="9846">
          <cell r="B9846">
            <v>43407</v>
          </cell>
          <cell r="C9846">
            <v>3177.57</v>
          </cell>
        </row>
        <row r="9847">
          <cell r="B9847">
            <v>43408</v>
          </cell>
          <cell r="C9847">
            <v>3177.57</v>
          </cell>
        </row>
        <row r="9848">
          <cell r="B9848">
            <v>43409</v>
          </cell>
          <cell r="C9848">
            <v>3177.57</v>
          </cell>
        </row>
        <row r="9849">
          <cell r="B9849">
            <v>43410</v>
          </cell>
          <cell r="C9849">
            <v>3177.57</v>
          </cell>
        </row>
        <row r="9850">
          <cell r="B9850">
            <v>43411</v>
          </cell>
          <cell r="C9850">
            <v>3154.55</v>
          </cell>
        </row>
        <row r="9851">
          <cell r="B9851">
            <v>43412</v>
          </cell>
          <cell r="C9851">
            <v>3140.25</v>
          </cell>
        </row>
        <row r="9852">
          <cell r="B9852">
            <v>43413</v>
          </cell>
          <cell r="C9852">
            <v>3145.39</v>
          </cell>
        </row>
        <row r="9853">
          <cell r="B9853">
            <v>43414</v>
          </cell>
          <cell r="C9853">
            <v>3176.89</v>
          </cell>
        </row>
        <row r="9854">
          <cell r="B9854">
            <v>43415</v>
          </cell>
          <cell r="C9854">
            <v>3176.89</v>
          </cell>
        </row>
        <row r="9855">
          <cell r="B9855">
            <v>43416</v>
          </cell>
          <cell r="C9855">
            <v>3176.89</v>
          </cell>
        </row>
        <row r="9856">
          <cell r="B9856">
            <v>43417</v>
          </cell>
          <cell r="C9856">
            <v>3176.89</v>
          </cell>
        </row>
        <row r="9857">
          <cell r="B9857">
            <v>43418</v>
          </cell>
          <cell r="C9857">
            <v>3197.2</v>
          </cell>
        </row>
        <row r="9858">
          <cell r="B9858">
            <v>43419</v>
          </cell>
          <cell r="C9858">
            <v>3194.7</v>
          </cell>
        </row>
        <row r="9859">
          <cell r="B9859">
            <v>43420</v>
          </cell>
          <cell r="C9859">
            <v>3198.29</v>
          </cell>
        </row>
        <row r="9860">
          <cell r="B9860">
            <v>43421</v>
          </cell>
          <cell r="C9860">
            <v>3173.59</v>
          </cell>
        </row>
        <row r="9861">
          <cell r="B9861">
            <v>43422</v>
          </cell>
          <cell r="C9861">
            <v>3173.59</v>
          </cell>
        </row>
        <row r="9862">
          <cell r="B9862">
            <v>43423</v>
          </cell>
          <cell r="C9862">
            <v>3173.59</v>
          </cell>
        </row>
        <row r="9863">
          <cell r="B9863">
            <v>43424</v>
          </cell>
          <cell r="C9863">
            <v>3178.81</v>
          </cell>
        </row>
        <row r="9864">
          <cell r="B9864">
            <v>43425</v>
          </cell>
          <cell r="C9864">
            <v>3189.51</v>
          </cell>
        </row>
        <row r="9865">
          <cell r="B9865">
            <v>43426</v>
          </cell>
          <cell r="C9865">
            <v>3196.26</v>
          </cell>
        </row>
        <row r="9866">
          <cell r="B9866">
            <v>43427</v>
          </cell>
          <cell r="C9866">
            <v>3196.26</v>
          </cell>
        </row>
        <row r="9867">
          <cell r="B9867">
            <v>43428</v>
          </cell>
          <cell r="C9867">
            <v>3223.95</v>
          </cell>
        </row>
        <row r="9868">
          <cell r="B9868">
            <v>43429</v>
          </cell>
          <cell r="C9868">
            <v>3223.95</v>
          </cell>
        </row>
        <row r="9869">
          <cell r="B9869">
            <v>43430</v>
          </cell>
          <cell r="C9869">
            <v>3223.95</v>
          </cell>
        </row>
        <row r="9870">
          <cell r="B9870">
            <v>43431</v>
          </cell>
          <cell r="C9870">
            <v>3240.65</v>
          </cell>
        </row>
        <row r="9871">
          <cell r="B9871">
            <v>43432</v>
          </cell>
          <cell r="C9871">
            <v>3250.56</v>
          </cell>
        </row>
        <row r="9872">
          <cell r="B9872">
            <v>43433</v>
          </cell>
          <cell r="C9872">
            <v>3274.47</v>
          </cell>
        </row>
        <row r="9873">
          <cell r="B9873">
            <v>43434</v>
          </cell>
          <cell r="C9873">
            <v>3240.02</v>
          </cell>
        </row>
        <row r="9874">
          <cell r="B9874">
            <v>43435</v>
          </cell>
          <cell r="C9874">
            <v>3235.27</v>
          </cell>
        </row>
        <row r="9875">
          <cell r="B9875">
            <v>43436</v>
          </cell>
          <cell r="C9875">
            <v>3235.27</v>
          </cell>
        </row>
        <row r="9876">
          <cell r="B9876">
            <v>43437</v>
          </cell>
          <cell r="C9876">
            <v>3235.27</v>
          </cell>
        </row>
        <row r="9877">
          <cell r="B9877">
            <v>43438</v>
          </cell>
          <cell r="C9877">
            <v>3196.15</v>
          </cell>
        </row>
        <row r="9878">
          <cell r="B9878">
            <v>43439</v>
          </cell>
          <cell r="C9878">
            <v>3174.11</v>
          </cell>
        </row>
        <row r="9879">
          <cell r="B9879">
            <v>43440</v>
          </cell>
          <cell r="C9879">
            <v>3162.29</v>
          </cell>
        </row>
        <row r="9880">
          <cell r="B9880">
            <v>43441</v>
          </cell>
          <cell r="C9880">
            <v>3187.86</v>
          </cell>
        </row>
        <row r="9881">
          <cell r="B9881">
            <v>43442</v>
          </cell>
          <cell r="C9881">
            <v>3153.29</v>
          </cell>
        </row>
        <row r="9882">
          <cell r="B9882">
            <v>43443</v>
          </cell>
          <cell r="C9882">
            <v>3153.29</v>
          </cell>
        </row>
        <row r="9883">
          <cell r="B9883">
            <v>43444</v>
          </cell>
          <cell r="C9883">
            <v>3153.29</v>
          </cell>
        </row>
        <row r="9884">
          <cell r="B9884">
            <v>43445</v>
          </cell>
          <cell r="C9884">
            <v>3176.12</v>
          </cell>
        </row>
        <row r="9885">
          <cell r="B9885">
            <v>43446</v>
          </cell>
          <cell r="C9885">
            <v>3184.7</v>
          </cell>
        </row>
        <row r="9886">
          <cell r="B9886">
            <v>43447</v>
          </cell>
          <cell r="C9886">
            <v>3169.36</v>
          </cell>
        </row>
        <row r="9887">
          <cell r="B9887">
            <v>43448</v>
          </cell>
          <cell r="C9887">
            <v>3178.4</v>
          </cell>
        </row>
        <row r="9888">
          <cell r="B9888">
            <v>43449</v>
          </cell>
          <cell r="C9888">
            <v>3196.3</v>
          </cell>
        </row>
        <row r="9889">
          <cell r="B9889">
            <v>43450</v>
          </cell>
          <cell r="C9889">
            <v>3196.3</v>
          </cell>
        </row>
        <row r="9890">
          <cell r="B9890">
            <v>43451</v>
          </cell>
          <cell r="C9890">
            <v>3196.3</v>
          </cell>
        </row>
        <row r="9891">
          <cell r="B9891">
            <v>43452</v>
          </cell>
          <cell r="C9891">
            <v>3188.66</v>
          </cell>
        </row>
        <row r="9892">
          <cell r="B9892">
            <v>43453</v>
          </cell>
          <cell r="C9892">
            <v>3198.45</v>
          </cell>
        </row>
        <row r="9893">
          <cell r="B9893">
            <v>43454</v>
          </cell>
          <cell r="C9893">
            <v>3216.55</v>
          </cell>
        </row>
        <row r="9894">
          <cell r="B9894">
            <v>43455</v>
          </cell>
          <cell r="C9894">
            <v>3246.86</v>
          </cell>
        </row>
        <row r="9895">
          <cell r="B9895">
            <v>43456</v>
          </cell>
          <cell r="C9895">
            <v>3285.34</v>
          </cell>
        </row>
        <row r="9896">
          <cell r="B9896">
            <v>43457</v>
          </cell>
          <cell r="C9896">
            <v>3285.34</v>
          </cell>
        </row>
        <row r="9897">
          <cell r="B9897">
            <v>43458</v>
          </cell>
          <cell r="C9897">
            <v>3285.34</v>
          </cell>
        </row>
        <row r="9898">
          <cell r="B9898">
            <v>43459</v>
          </cell>
          <cell r="C9898">
            <v>3285.51</v>
          </cell>
        </row>
        <row r="9899">
          <cell r="B9899">
            <v>43460</v>
          </cell>
          <cell r="C9899">
            <v>3285.51</v>
          </cell>
        </row>
        <row r="9900">
          <cell r="B9900">
            <v>43461</v>
          </cell>
          <cell r="C9900">
            <v>3289.69</v>
          </cell>
        </row>
        <row r="9901">
          <cell r="B9901">
            <v>43462</v>
          </cell>
          <cell r="C9901">
            <v>3275.01</v>
          </cell>
        </row>
        <row r="9902">
          <cell r="B9902">
            <v>43463</v>
          </cell>
          <cell r="C9902">
            <v>3249.75</v>
          </cell>
        </row>
        <row r="9903">
          <cell r="B9903">
            <v>43464</v>
          </cell>
          <cell r="C9903">
            <v>3249.75</v>
          </cell>
        </row>
        <row r="9904">
          <cell r="B9904">
            <v>43465</v>
          </cell>
          <cell r="C9904">
            <v>3249.75</v>
          </cell>
        </row>
        <row r="9905">
          <cell r="B9905">
            <v>43466</v>
          </cell>
          <cell r="C9905">
            <v>3249.75</v>
          </cell>
        </row>
        <row r="9906">
          <cell r="B9906">
            <v>43467</v>
          </cell>
          <cell r="C9906">
            <v>3249.75</v>
          </cell>
        </row>
        <row r="9907">
          <cell r="B9907">
            <v>43468</v>
          </cell>
          <cell r="C9907">
            <v>3250.01</v>
          </cell>
        </row>
        <row r="9908">
          <cell r="B9908">
            <v>43469</v>
          </cell>
          <cell r="C9908">
            <v>3241.2</v>
          </cell>
        </row>
        <row r="9909">
          <cell r="B9909">
            <v>43470</v>
          </cell>
          <cell r="C9909">
            <v>3208.56</v>
          </cell>
        </row>
        <row r="9910">
          <cell r="B9910">
            <v>43471</v>
          </cell>
          <cell r="C9910">
            <v>3208.56</v>
          </cell>
        </row>
        <row r="9911">
          <cell r="B9911">
            <v>43472</v>
          </cell>
          <cell r="C9911">
            <v>3208.56</v>
          </cell>
        </row>
        <row r="9912">
          <cell r="B9912">
            <v>43473</v>
          </cell>
          <cell r="C9912">
            <v>3208.56</v>
          </cell>
        </row>
        <row r="9913">
          <cell r="B9913">
            <v>43474</v>
          </cell>
          <cell r="C9913">
            <v>3164.75</v>
          </cell>
        </row>
        <row r="9914">
          <cell r="B9914">
            <v>43475</v>
          </cell>
          <cell r="C9914">
            <v>3128.07</v>
          </cell>
        </row>
        <row r="9915">
          <cell r="B9915">
            <v>43476</v>
          </cell>
          <cell r="C9915">
            <v>3136.49</v>
          </cell>
        </row>
        <row r="9916">
          <cell r="B9916">
            <v>43477</v>
          </cell>
          <cell r="C9916">
            <v>3151.49</v>
          </cell>
        </row>
        <row r="9917">
          <cell r="B9917">
            <v>43478</v>
          </cell>
          <cell r="C9917">
            <v>3151.49</v>
          </cell>
        </row>
        <row r="9918">
          <cell r="B9918">
            <v>43479</v>
          </cell>
          <cell r="C9918">
            <v>3151.49</v>
          </cell>
        </row>
        <row r="9919">
          <cell r="B9919">
            <v>43480</v>
          </cell>
          <cell r="C9919">
            <v>3143.22</v>
          </cell>
        </row>
        <row r="9920">
          <cell r="B9920">
            <v>43481</v>
          </cell>
          <cell r="C9920">
            <v>3137.66</v>
          </cell>
        </row>
        <row r="9921">
          <cell r="B9921">
            <v>43482</v>
          </cell>
          <cell r="C9921">
            <v>3124.96</v>
          </cell>
        </row>
        <row r="9922">
          <cell r="B9922">
            <v>43483</v>
          </cell>
          <cell r="C9922">
            <v>3140.19</v>
          </cell>
        </row>
        <row r="9923">
          <cell r="B9923">
            <v>43484</v>
          </cell>
          <cell r="C9923">
            <v>3120.56</v>
          </cell>
        </row>
        <row r="9924">
          <cell r="B9924">
            <v>43485</v>
          </cell>
          <cell r="C9924">
            <v>3120.56</v>
          </cell>
        </row>
        <row r="9925">
          <cell r="B9925">
            <v>43486</v>
          </cell>
          <cell r="C9925">
            <v>3120.56</v>
          </cell>
        </row>
        <row r="9926">
          <cell r="B9926">
            <v>43487</v>
          </cell>
          <cell r="C9926">
            <v>3120.56</v>
          </cell>
        </row>
        <row r="9927">
          <cell r="B9927">
            <v>43488</v>
          </cell>
          <cell r="C9927">
            <v>3136.59</v>
          </cell>
        </row>
        <row r="9928">
          <cell r="B9928">
            <v>43489</v>
          </cell>
          <cell r="C9928">
            <v>3146.14</v>
          </cell>
        </row>
        <row r="9929">
          <cell r="B9929">
            <v>43490</v>
          </cell>
          <cell r="C9929">
            <v>3160.52</v>
          </cell>
        </row>
        <row r="9930">
          <cell r="B9930">
            <v>43491</v>
          </cell>
          <cell r="C9930">
            <v>3150.58</v>
          </cell>
        </row>
        <row r="9931">
          <cell r="B9931">
            <v>43492</v>
          </cell>
          <cell r="C9931">
            <v>3150.58</v>
          </cell>
        </row>
        <row r="9932">
          <cell r="B9932">
            <v>43493</v>
          </cell>
          <cell r="C9932">
            <v>3150.58</v>
          </cell>
        </row>
        <row r="9933">
          <cell r="B9933">
            <v>43494</v>
          </cell>
          <cell r="C9933">
            <v>3167.86</v>
          </cell>
        </row>
        <row r="9934">
          <cell r="B9934">
            <v>43495</v>
          </cell>
          <cell r="C9934">
            <v>3157.52</v>
          </cell>
        </row>
        <row r="9935">
          <cell r="B9935">
            <v>43496</v>
          </cell>
          <cell r="C9935">
            <v>3163.46</v>
          </cell>
        </row>
        <row r="9936">
          <cell r="B9936">
            <v>43497</v>
          </cell>
          <cell r="C9936">
            <v>3115.7</v>
          </cell>
        </row>
        <row r="9937">
          <cell r="B9937">
            <v>43498</v>
          </cell>
          <cell r="C9937">
            <v>3102.61</v>
          </cell>
        </row>
        <row r="9938">
          <cell r="B9938">
            <v>43499</v>
          </cell>
          <cell r="C9938">
            <v>3102.61</v>
          </cell>
        </row>
        <row r="9939">
          <cell r="B9939">
            <v>43500</v>
          </cell>
          <cell r="C9939">
            <v>3102.61</v>
          </cell>
        </row>
        <row r="9940">
          <cell r="B9940">
            <v>43501</v>
          </cell>
          <cell r="C9940">
            <v>3089.4</v>
          </cell>
        </row>
        <row r="9941">
          <cell r="B9941">
            <v>43502</v>
          </cell>
          <cell r="C9941">
            <v>3094.05</v>
          </cell>
        </row>
        <row r="9942">
          <cell r="B9942">
            <v>43503</v>
          </cell>
          <cell r="C9942">
            <v>3108.54</v>
          </cell>
        </row>
        <row r="9943">
          <cell r="B9943">
            <v>43504</v>
          </cell>
          <cell r="C9943">
            <v>3110.46</v>
          </cell>
        </row>
        <row r="9944">
          <cell r="B9944">
            <v>43505</v>
          </cell>
          <cell r="C9944">
            <v>3115.94</v>
          </cell>
        </row>
        <row r="9945">
          <cell r="B9945">
            <v>43506</v>
          </cell>
          <cell r="C9945">
            <v>3115.94</v>
          </cell>
        </row>
        <row r="9946">
          <cell r="B9946">
            <v>43507</v>
          </cell>
          <cell r="C9946">
            <v>3115.94</v>
          </cell>
        </row>
        <row r="9947">
          <cell r="B9947">
            <v>43508</v>
          </cell>
          <cell r="C9947">
            <v>3132.61</v>
          </cell>
        </row>
        <row r="9948">
          <cell r="B9948">
            <v>43509</v>
          </cell>
          <cell r="C9948">
            <v>3131.1</v>
          </cell>
        </row>
        <row r="9949">
          <cell r="B9949">
            <v>43510</v>
          </cell>
          <cell r="C9949">
            <v>3135.56</v>
          </cell>
        </row>
        <row r="9950">
          <cell r="B9950">
            <v>43511</v>
          </cell>
          <cell r="C9950">
            <v>3155.27</v>
          </cell>
        </row>
        <row r="9951">
          <cell r="B9951">
            <v>43512</v>
          </cell>
          <cell r="C9951">
            <v>3141.4</v>
          </cell>
        </row>
        <row r="9952">
          <cell r="B9952">
            <v>43513</v>
          </cell>
          <cell r="C9952">
            <v>3141.4</v>
          </cell>
        </row>
        <row r="9953">
          <cell r="B9953">
            <v>43514</v>
          </cell>
          <cell r="C9953">
            <v>3141.4</v>
          </cell>
        </row>
        <row r="9954">
          <cell r="B9954">
            <v>43515</v>
          </cell>
          <cell r="C9954">
            <v>3141.4</v>
          </cell>
        </row>
        <row r="9955">
          <cell r="B9955">
            <v>43516</v>
          </cell>
          <cell r="C9955">
            <v>3118.36</v>
          </cell>
        </row>
        <row r="9956">
          <cell r="B9956">
            <v>43517</v>
          </cell>
          <cell r="C9956">
            <v>3112.18</v>
          </cell>
        </row>
        <row r="9957">
          <cell r="B9957">
            <v>43518</v>
          </cell>
          <cell r="C9957">
            <v>3119.42</v>
          </cell>
        </row>
        <row r="9958">
          <cell r="B9958">
            <v>43519</v>
          </cell>
          <cell r="C9958">
            <v>3110.29</v>
          </cell>
        </row>
        <row r="9959">
          <cell r="B9959">
            <v>43520</v>
          </cell>
          <cell r="C9959">
            <v>3110.29</v>
          </cell>
        </row>
        <row r="9960">
          <cell r="B9960">
            <v>43521</v>
          </cell>
          <cell r="C9960">
            <v>3110.29</v>
          </cell>
        </row>
        <row r="9961">
          <cell r="B9961">
            <v>43522</v>
          </cell>
          <cell r="C9961">
            <v>3101.41</v>
          </cell>
        </row>
        <row r="9962">
          <cell r="B9962">
            <v>43523</v>
          </cell>
          <cell r="C9962">
            <v>3095.29</v>
          </cell>
        </row>
        <row r="9963">
          <cell r="B9963">
            <v>43524</v>
          </cell>
          <cell r="C9963">
            <v>3072.01</v>
          </cell>
        </row>
        <row r="9964">
          <cell r="B9964">
            <v>43525</v>
          </cell>
          <cell r="C9964">
            <v>3077.35</v>
          </cell>
        </row>
        <row r="9965">
          <cell r="B9965">
            <v>43526</v>
          </cell>
          <cell r="C9965">
            <v>3091.49</v>
          </cell>
        </row>
        <row r="9966">
          <cell r="B9966">
            <v>43527</v>
          </cell>
          <cell r="C9966">
            <v>3091.49</v>
          </cell>
        </row>
        <row r="9967">
          <cell r="B9967">
            <v>43528</v>
          </cell>
          <cell r="C9967">
            <v>3091.49</v>
          </cell>
        </row>
        <row r="9968">
          <cell r="B9968">
            <v>43529</v>
          </cell>
          <cell r="C9968">
            <v>3093.79</v>
          </cell>
        </row>
        <row r="9969">
          <cell r="B9969">
            <v>43530</v>
          </cell>
          <cell r="C9969">
            <v>3099.12</v>
          </cell>
        </row>
        <row r="9970">
          <cell r="B9970">
            <v>43531</v>
          </cell>
          <cell r="C9970">
            <v>3106.16</v>
          </cell>
        </row>
        <row r="9971">
          <cell r="B9971">
            <v>43532</v>
          </cell>
          <cell r="C9971">
            <v>3120.04</v>
          </cell>
        </row>
        <row r="9972">
          <cell r="B9972">
            <v>43533</v>
          </cell>
          <cell r="C9972">
            <v>3162.4</v>
          </cell>
        </row>
        <row r="9973">
          <cell r="B9973">
            <v>43534</v>
          </cell>
          <cell r="C9973">
            <v>3162.4</v>
          </cell>
        </row>
        <row r="9974">
          <cell r="B9974">
            <v>43535</v>
          </cell>
          <cell r="C9974">
            <v>3162.4</v>
          </cell>
        </row>
        <row r="9975">
          <cell r="B9975">
            <v>43536</v>
          </cell>
          <cell r="C9975">
            <v>3168.35</v>
          </cell>
        </row>
        <row r="9976">
          <cell r="B9976">
            <v>43537</v>
          </cell>
          <cell r="C9976">
            <v>3153.2</v>
          </cell>
        </row>
        <row r="9977">
          <cell r="B9977">
            <v>43538</v>
          </cell>
          <cell r="C9977">
            <v>3145.53</v>
          </cell>
        </row>
        <row r="9978">
          <cell r="B9978">
            <v>43539</v>
          </cell>
          <cell r="C9978">
            <v>3144.42</v>
          </cell>
        </row>
        <row r="9979">
          <cell r="B9979">
            <v>43540</v>
          </cell>
          <cell r="C9979">
            <v>3123.28</v>
          </cell>
        </row>
        <row r="9980">
          <cell r="B9980">
            <v>43541</v>
          </cell>
          <cell r="C9980">
            <v>3123.28</v>
          </cell>
        </row>
        <row r="9981">
          <cell r="B9981">
            <v>43542</v>
          </cell>
          <cell r="C9981">
            <v>3123.28</v>
          </cell>
        </row>
        <row r="9982">
          <cell r="B9982">
            <v>43543</v>
          </cell>
          <cell r="C9982">
            <v>3102.25</v>
          </cell>
        </row>
        <row r="9983">
          <cell r="B9983">
            <v>43544</v>
          </cell>
          <cell r="C9983">
            <v>3095.39</v>
          </cell>
        </row>
        <row r="9984">
          <cell r="B9984">
            <v>43545</v>
          </cell>
          <cell r="C9984">
            <v>3092.39</v>
          </cell>
        </row>
        <row r="9985">
          <cell r="B9985">
            <v>43546</v>
          </cell>
          <cell r="C9985">
            <v>3082.45</v>
          </cell>
        </row>
        <row r="9986">
          <cell r="B9986">
            <v>43547</v>
          </cell>
          <cell r="C9986">
            <v>3126.19</v>
          </cell>
        </row>
        <row r="9987">
          <cell r="B9987">
            <v>43548</v>
          </cell>
          <cell r="C9987">
            <v>3126.19</v>
          </cell>
        </row>
        <row r="9988">
          <cell r="B9988">
            <v>43549</v>
          </cell>
          <cell r="C9988">
            <v>3126.19</v>
          </cell>
        </row>
        <row r="9989">
          <cell r="B9989">
            <v>43550</v>
          </cell>
          <cell r="C9989">
            <v>3126.19</v>
          </cell>
        </row>
        <row r="9990">
          <cell r="B9990">
            <v>43551</v>
          </cell>
          <cell r="C9990">
            <v>3145.55</v>
          </cell>
        </row>
        <row r="9991">
          <cell r="B9991">
            <v>43552</v>
          </cell>
          <cell r="C9991">
            <v>3186.43</v>
          </cell>
        </row>
        <row r="9992">
          <cell r="B9992">
            <v>43553</v>
          </cell>
          <cell r="C9992">
            <v>3190.94</v>
          </cell>
        </row>
        <row r="9993">
          <cell r="B9993">
            <v>43554</v>
          </cell>
          <cell r="C9993">
            <v>3174.79</v>
          </cell>
        </row>
        <row r="9994">
          <cell r="B9994">
            <v>43555</v>
          </cell>
          <cell r="C9994">
            <v>3174.79</v>
          </cell>
        </row>
        <row r="9995">
          <cell r="B9995">
            <v>43556</v>
          </cell>
          <cell r="C9995">
            <v>3174.79</v>
          </cell>
        </row>
        <row r="9996">
          <cell r="B9996">
            <v>43557</v>
          </cell>
          <cell r="C9996">
            <v>3146.81</v>
          </cell>
        </row>
        <row r="9997">
          <cell r="B9997">
            <v>43558</v>
          </cell>
          <cell r="C9997">
            <v>3143.36</v>
          </cell>
        </row>
        <row r="9998">
          <cell r="B9998">
            <v>43559</v>
          </cell>
          <cell r="C9998">
            <v>3128.47</v>
          </cell>
        </row>
        <row r="9999">
          <cell r="B9999">
            <v>43560</v>
          </cell>
          <cell r="C9999">
            <v>3132.78</v>
          </cell>
        </row>
        <row r="10000">
          <cell r="B10000">
            <v>43561</v>
          </cell>
          <cell r="C10000">
            <v>3126.2</v>
          </cell>
        </row>
        <row r="10001">
          <cell r="B10001">
            <v>43562</v>
          </cell>
          <cell r="C10001">
            <v>3126.2</v>
          </cell>
        </row>
        <row r="10002">
          <cell r="B10002">
            <v>43563</v>
          </cell>
          <cell r="C10002">
            <v>3126.2</v>
          </cell>
        </row>
        <row r="10003">
          <cell r="B10003">
            <v>43564</v>
          </cell>
          <cell r="C10003">
            <v>3115.22</v>
          </cell>
        </row>
        <row r="10004">
          <cell r="B10004">
            <v>43565</v>
          </cell>
          <cell r="C10004">
            <v>3105.2</v>
          </cell>
        </row>
        <row r="10005">
          <cell r="B10005">
            <v>43566</v>
          </cell>
          <cell r="C10005">
            <v>3095.66</v>
          </cell>
        </row>
        <row r="10006">
          <cell r="B10006">
            <v>43567</v>
          </cell>
          <cell r="C10006">
            <v>3113.91</v>
          </cell>
        </row>
        <row r="10007">
          <cell r="B10007">
            <v>43568</v>
          </cell>
          <cell r="C10007">
            <v>3109.32</v>
          </cell>
        </row>
        <row r="10008">
          <cell r="B10008">
            <v>43569</v>
          </cell>
          <cell r="C10008">
            <v>3109.32</v>
          </cell>
        </row>
        <row r="10009">
          <cell r="B10009">
            <v>43570</v>
          </cell>
          <cell r="C10009">
            <v>3109.32</v>
          </cell>
        </row>
        <row r="10010">
          <cell r="B10010">
            <v>43571</v>
          </cell>
          <cell r="C10010">
            <v>3136.69</v>
          </cell>
        </row>
        <row r="10011">
          <cell r="B10011">
            <v>43572</v>
          </cell>
          <cell r="C10011">
            <v>3160.87</v>
          </cell>
        </row>
        <row r="10012">
          <cell r="B10012">
            <v>43573</v>
          </cell>
          <cell r="C10012">
            <v>3160.48</v>
          </cell>
        </row>
        <row r="10013">
          <cell r="B10013">
            <v>43574</v>
          </cell>
          <cell r="C10013">
            <v>3160.48</v>
          </cell>
        </row>
        <row r="10014">
          <cell r="B10014">
            <v>43575</v>
          </cell>
          <cell r="C10014">
            <v>3160.48</v>
          </cell>
        </row>
        <row r="10015">
          <cell r="B10015">
            <v>43576</v>
          </cell>
          <cell r="C10015">
            <v>3160.48</v>
          </cell>
        </row>
        <row r="10016">
          <cell r="B10016">
            <v>43577</v>
          </cell>
          <cell r="C10016">
            <v>3160.48</v>
          </cell>
        </row>
        <row r="10017">
          <cell r="B10017">
            <v>43578</v>
          </cell>
          <cell r="C10017">
            <v>3149.99</v>
          </cell>
        </row>
        <row r="10018">
          <cell r="B10018">
            <v>43579</v>
          </cell>
          <cell r="C10018">
            <v>3177.94</v>
          </cell>
        </row>
        <row r="10019">
          <cell r="B10019">
            <v>43580</v>
          </cell>
          <cell r="C10019">
            <v>3213.23</v>
          </cell>
        </row>
        <row r="10020">
          <cell r="B10020">
            <v>43581</v>
          </cell>
          <cell r="C10020">
            <v>3237.98</v>
          </cell>
        </row>
        <row r="10021">
          <cell r="B10021">
            <v>43582</v>
          </cell>
          <cell r="C10021">
            <v>3227.79</v>
          </cell>
        </row>
        <row r="10022">
          <cell r="B10022">
            <v>43583</v>
          </cell>
          <cell r="C10022">
            <v>3227.79</v>
          </cell>
        </row>
        <row r="10023">
          <cell r="B10023">
            <v>43584</v>
          </cell>
          <cell r="C10023">
            <v>3227.79</v>
          </cell>
        </row>
        <row r="10024">
          <cell r="B10024">
            <v>43585</v>
          </cell>
          <cell r="C10024">
            <v>3247.72</v>
          </cell>
        </row>
        <row r="10025">
          <cell r="B10025">
            <v>43586</v>
          </cell>
          <cell r="C10025">
            <v>3233.97</v>
          </cell>
        </row>
        <row r="10026">
          <cell r="B10026">
            <v>43587</v>
          </cell>
          <cell r="C10026">
            <v>3233.97</v>
          </cell>
        </row>
        <row r="10027">
          <cell r="B10027">
            <v>43588</v>
          </cell>
          <cell r="C10027">
            <v>3262.17</v>
          </cell>
        </row>
        <row r="10028">
          <cell r="B10028">
            <v>43589</v>
          </cell>
          <cell r="C10028">
            <v>3240.44</v>
          </cell>
        </row>
        <row r="10029">
          <cell r="B10029">
            <v>43590</v>
          </cell>
          <cell r="C10029">
            <v>3240.44</v>
          </cell>
        </row>
        <row r="10030">
          <cell r="B10030">
            <v>43591</v>
          </cell>
          <cell r="C10030">
            <v>3240.44</v>
          </cell>
        </row>
        <row r="10031">
          <cell r="B10031">
            <v>43592</v>
          </cell>
          <cell r="C10031">
            <v>3254.03</v>
          </cell>
        </row>
        <row r="10032">
          <cell r="B10032">
            <v>43593</v>
          </cell>
          <cell r="C10032">
            <v>3288.81</v>
          </cell>
        </row>
        <row r="10033">
          <cell r="B10033">
            <v>43594</v>
          </cell>
          <cell r="C10033">
            <v>3290.12</v>
          </cell>
        </row>
        <row r="10034">
          <cell r="B10034">
            <v>43595</v>
          </cell>
          <cell r="C10034">
            <v>3293.62</v>
          </cell>
        </row>
        <row r="10035">
          <cell r="B10035">
            <v>43596</v>
          </cell>
          <cell r="C10035">
            <v>3274.3</v>
          </cell>
        </row>
        <row r="10036">
          <cell r="B10036">
            <v>43597</v>
          </cell>
          <cell r="C10036">
            <v>3274.3</v>
          </cell>
        </row>
        <row r="10037">
          <cell r="B10037">
            <v>43598</v>
          </cell>
          <cell r="C10037">
            <v>3274.3</v>
          </cell>
        </row>
        <row r="10038">
          <cell r="B10038">
            <v>43599</v>
          </cell>
          <cell r="C10038">
            <v>3299.01</v>
          </cell>
        </row>
        <row r="10039">
          <cell r="B10039">
            <v>43600</v>
          </cell>
          <cell r="C10039">
            <v>3285.14</v>
          </cell>
        </row>
        <row r="10040">
          <cell r="B10040">
            <v>43601</v>
          </cell>
          <cell r="C10040">
            <v>3295.51</v>
          </cell>
        </row>
        <row r="10041">
          <cell r="B10041">
            <v>43602</v>
          </cell>
          <cell r="C10041">
            <v>3290.27</v>
          </cell>
        </row>
        <row r="10042">
          <cell r="B10042">
            <v>43603</v>
          </cell>
          <cell r="C10042">
            <v>3313.72</v>
          </cell>
        </row>
        <row r="10043">
          <cell r="B10043">
            <v>43604</v>
          </cell>
          <cell r="C10043">
            <v>3313.72</v>
          </cell>
        </row>
        <row r="10044">
          <cell r="B10044">
            <v>43605</v>
          </cell>
          <cell r="C10044">
            <v>3313.72</v>
          </cell>
        </row>
        <row r="10045">
          <cell r="B10045">
            <v>43606</v>
          </cell>
          <cell r="C10045">
            <v>3342.21</v>
          </cell>
        </row>
        <row r="10046">
          <cell r="B10046">
            <v>43607</v>
          </cell>
          <cell r="C10046">
            <v>3344.45</v>
          </cell>
        </row>
        <row r="10047">
          <cell r="B10047">
            <v>43608</v>
          </cell>
          <cell r="C10047">
            <v>3340.96</v>
          </cell>
        </row>
        <row r="10048">
          <cell r="B10048">
            <v>43609</v>
          </cell>
          <cell r="C10048">
            <v>3368.76</v>
          </cell>
        </row>
        <row r="10049">
          <cell r="B10049">
            <v>43610</v>
          </cell>
          <cell r="C10049">
            <v>3358.84</v>
          </cell>
        </row>
        <row r="10050">
          <cell r="B10050">
            <v>43611</v>
          </cell>
          <cell r="C10050">
            <v>3358.84</v>
          </cell>
        </row>
        <row r="10051">
          <cell r="B10051">
            <v>43612</v>
          </cell>
          <cell r="C10051">
            <v>3358.84</v>
          </cell>
        </row>
        <row r="10052">
          <cell r="B10052">
            <v>43613</v>
          </cell>
          <cell r="C10052">
            <v>3358.84</v>
          </cell>
        </row>
        <row r="10053">
          <cell r="B10053">
            <v>43614</v>
          </cell>
          <cell r="C10053">
            <v>3362.48</v>
          </cell>
        </row>
        <row r="10054">
          <cell r="B10054">
            <v>43615</v>
          </cell>
          <cell r="C10054">
            <v>3375.29</v>
          </cell>
        </row>
        <row r="10055">
          <cell r="B10055">
            <v>43616</v>
          </cell>
          <cell r="C10055">
            <v>3357.82</v>
          </cell>
        </row>
        <row r="10056">
          <cell r="B10056">
            <v>43617</v>
          </cell>
          <cell r="C10056">
            <v>3377.16</v>
          </cell>
        </row>
        <row r="10057">
          <cell r="B10057">
            <v>43618</v>
          </cell>
          <cell r="C10057">
            <v>3377.16</v>
          </cell>
        </row>
        <row r="10058">
          <cell r="B10058">
            <v>43619</v>
          </cell>
          <cell r="C10058">
            <v>3377.16</v>
          </cell>
        </row>
        <row r="10059">
          <cell r="B10059">
            <v>43620</v>
          </cell>
          <cell r="C10059">
            <v>3377.16</v>
          </cell>
        </row>
        <row r="10060">
          <cell r="B10060">
            <v>43621</v>
          </cell>
          <cell r="C10060">
            <v>3306.37</v>
          </cell>
        </row>
        <row r="10061">
          <cell r="B10061">
            <v>43622</v>
          </cell>
          <cell r="C10061">
            <v>3296.87</v>
          </cell>
        </row>
        <row r="10062">
          <cell r="B10062">
            <v>43623</v>
          </cell>
          <cell r="C10062">
            <v>3288.69</v>
          </cell>
        </row>
        <row r="10063">
          <cell r="B10063">
            <v>43624</v>
          </cell>
          <cell r="C10063">
            <v>3274.72</v>
          </cell>
        </row>
        <row r="10064">
          <cell r="B10064">
            <v>43625</v>
          </cell>
          <cell r="C10064">
            <v>3274.72</v>
          </cell>
        </row>
        <row r="10065">
          <cell r="B10065">
            <v>43626</v>
          </cell>
          <cell r="C10065">
            <v>3274.72</v>
          </cell>
        </row>
        <row r="10066">
          <cell r="B10066">
            <v>43627</v>
          </cell>
          <cell r="C10066">
            <v>3257.06</v>
          </cell>
        </row>
        <row r="10067">
          <cell r="B10067">
            <v>43628</v>
          </cell>
          <cell r="C10067">
            <v>3249.56</v>
          </cell>
        </row>
        <row r="10068">
          <cell r="B10068">
            <v>43629</v>
          </cell>
          <cell r="C10068">
            <v>3264.47</v>
          </cell>
        </row>
        <row r="10069">
          <cell r="B10069">
            <v>43630</v>
          </cell>
          <cell r="C10069">
            <v>3266.72</v>
          </cell>
        </row>
        <row r="10070">
          <cell r="B10070">
            <v>43631</v>
          </cell>
          <cell r="C10070">
            <v>3270.7</v>
          </cell>
        </row>
        <row r="10071">
          <cell r="B10071">
            <v>43632</v>
          </cell>
          <cell r="C10071">
            <v>3270.7</v>
          </cell>
        </row>
        <row r="10072">
          <cell r="B10072">
            <v>43633</v>
          </cell>
          <cell r="C10072">
            <v>3270.7</v>
          </cell>
        </row>
        <row r="10073">
          <cell r="B10073">
            <v>43634</v>
          </cell>
          <cell r="C10073">
            <v>3286.63</v>
          </cell>
        </row>
        <row r="10074">
          <cell r="B10074">
            <v>43635</v>
          </cell>
          <cell r="C10074">
            <v>3264.98</v>
          </cell>
        </row>
        <row r="10075">
          <cell r="B10075">
            <v>43636</v>
          </cell>
          <cell r="C10075">
            <v>3248.91</v>
          </cell>
        </row>
        <row r="10076">
          <cell r="B10076">
            <v>43637</v>
          </cell>
          <cell r="C10076">
            <v>3202.01</v>
          </cell>
        </row>
        <row r="10077">
          <cell r="B10077">
            <v>43638</v>
          </cell>
          <cell r="C10077">
            <v>3191.17</v>
          </cell>
        </row>
        <row r="10078">
          <cell r="B10078">
            <v>43639</v>
          </cell>
          <cell r="C10078">
            <v>3191.17</v>
          </cell>
        </row>
        <row r="10079">
          <cell r="B10079">
            <v>43640</v>
          </cell>
          <cell r="C10079">
            <v>3191.17</v>
          </cell>
        </row>
        <row r="10080">
          <cell r="B10080">
            <v>43641</v>
          </cell>
          <cell r="C10080">
            <v>3191.17</v>
          </cell>
        </row>
        <row r="10081">
          <cell r="B10081">
            <v>43642</v>
          </cell>
          <cell r="C10081">
            <v>3187.15</v>
          </cell>
        </row>
        <row r="10082">
          <cell r="B10082">
            <v>43643</v>
          </cell>
          <cell r="C10082">
            <v>3177.94</v>
          </cell>
        </row>
        <row r="10083">
          <cell r="B10083">
            <v>43644</v>
          </cell>
          <cell r="C10083">
            <v>3197.23</v>
          </cell>
        </row>
        <row r="10084">
          <cell r="B10084">
            <v>43645</v>
          </cell>
          <cell r="C10084">
            <v>3205.67</v>
          </cell>
        </row>
        <row r="10085">
          <cell r="B10085">
            <v>43646</v>
          </cell>
          <cell r="C10085">
            <v>3205.67</v>
          </cell>
        </row>
        <row r="10086">
          <cell r="B10086">
            <v>43647</v>
          </cell>
          <cell r="C10086">
            <v>3205.67</v>
          </cell>
        </row>
        <row r="10087">
          <cell r="B10087">
            <v>43648</v>
          </cell>
          <cell r="C10087">
            <v>3205.67</v>
          </cell>
        </row>
        <row r="10088">
          <cell r="B10088">
            <v>43649</v>
          </cell>
          <cell r="C10088">
            <v>3211.06</v>
          </cell>
        </row>
        <row r="10089">
          <cell r="B10089">
            <v>43650</v>
          </cell>
          <cell r="C10089">
            <v>3206.92</v>
          </cell>
        </row>
        <row r="10090">
          <cell r="B10090">
            <v>43651</v>
          </cell>
          <cell r="C10090">
            <v>3206.92</v>
          </cell>
        </row>
        <row r="10091">
          <cell r="B10091">
            <v>43652</v>
          </cell>
          <cell r="C10091">
            <v>3217.18</v>
          </cell>
        </row>
        <row r="10092">
          <cell r="B10092">
            <v>43653</v>
          </cell>
          <cell r="C10092">
            <v>3217.18</v>
          </cell>
        </row>
        <row r="10093">
          <cell r="B10093">
            <v>43654</v>
          </cell>
          <cell r="C10093">
            <v>3217.18</v>
          </cell>
        </row>
        <row r="10094">
          <cell r="B10094">
            <v>43655</v>
          </cell>
          <cell r="C10094">
            <v>3207.66</v>
          </cell>
        </row>
        <row r="10095">
          <cell r="B10095">
            <v>43656</v>
          </cell>
          <cell r="C10095">
            <v>3223.67</v>
          </cell>
        </row>
        <row r="10096">
          <cell r="B10096">
            <v>43657</v>
          </cell>
          <cell r="C10096">
            <v>3212.91</v>
          </cell>
        </row>
        <row r="10097">
          <cell r="B10097">
            <v>43658</v>
          </cell>
          <cell r="C10097">
            <v>3197.5</v>
          </cell>
        </row>
        <row r="10098">
          <cell r="B10098">
            <v>43659</v>
          </cell>
          <cell r="C10098">
            <v>3190.33</v>
          </cell>
        </row>
        <row r="10099">
          <cell r="B10099">
            <v>43660</v>
          </cell>
          <cell r="C10099">
            <v>3190.33</v>
          </cell>
        </row>
        <row r="10100">
          <cell r="B10100">
            <v>43661</v>
          </cell>
          <cell r="C10100">
            <v>3190.33</v>
          </cell>
        </row>
        <row r="10101">
          <cell r="B10101">
            <v>43662</v>
          </cell>
          <cell r="C10101">
            <v>3190.66</v>
          </cell>
        </row>
        <row r="10102">
          <cell r="B10102">
            <v>43663</v>
          </cell>
          <cell r="C10102">
            <v>3199.72</v>
          </cell>
        </row>
        <row r="10103">
          <cell r="B10103">
            <v>43664</v>
          </cell>
          <cell r="C10103">
            <v>3189.21</v>
          </cell>
        </row>
        <row r="10104">
          <cell r="B10104">
            <v>43665</v>
          </cell>
          <cell r="C10104">
            <v>3183.01</v>
          </cell>
        </row>
        <row r="10105">
          <cell r="B10105">
            <v>43666</v>
          </cell>
          <cell r="C10105">
            <v>3169.51</v>
          </cell>
        </row>
        <row r="10106">
          <cell r="B10106">
            <v>43667</v>
          </cell>
          <cell r="C10106">
            <v>3169.51</v>
          </cell>
        </row>
        <row r="10107">
          <cell r="B10107">
            <v>43668</v>
          </cell>
          <cell r="C10107">
            <v>3169.51</v>
          </cell>
        </row>
        <row r="10108">
          <cell r="B10108">
            <v>43669</v>
          </cell>
          <cell r="C10108">
            <v>3177.76</v>
          </cell>
        </row>
        <row r="10109">
          <cell r="B10109">
            <v>43670</v>
          </cell>
          <cell r="C10109">
            <v>3188.01</v>
          </cell>
        </row>
        <row r="10110">
          <cell r="B10110">
            <v>43671</v>
          </cell>
          <cell r="C10110">
            <v>3194.67</v>
          </cell>
        </row>
        <row r="10111">
          <cell r="B10111">
            <v>43672</v>
          </cell>
          <cell r="C10111">
            <v>3213.09</v>
          </cell>
        </row>
        <row r="10112">
          <cell r="B10112">
            <v>43673</v>
          </cell>
          <cell r="C10112">
            <v>3233.26</v>
          </cell>
        </row>
        <row r="10113">
          <cell r="B10113">
            <v>43674</v>
          </cell>
          <cell r="C10113">
            <v>3233.26</v>
          </cell>
        </row>
        <row r="10114">
          <cell r="B10114">
            <v>43675</v>
          </cell>
          <cell r="C10114">
            <v>3233.26</v>
          </cell>
        </row>
        <row r="10115">
          <cell r="B10115">
            <v>43676</v>
          </cell>
          <cell r="C10115">
            <v>3262.81</v>
          </cell>
        </row>
        <row r="10116">
          <cell r="B10116">
            <v>43677</v>
          </cell>
          <cell r="C10116">
            <v>3296.85</v>
          </cell>
        </row>
        <row r="10117">
          <cell r="B10117">
            <v>43678</v>
          </cell>
          <cell r="C10117">
            <v>3291.79</v>
          </cell>
        </row>
        <row r="10118">
          <cell r="B10118">
            <v>43679</v>
          </cell>
          <cell r="C10118">
            <v>3329.23</v>
          </cell>
        </row>
        <row r="10119">
          <cell r="B10119">
            <v>43680</v>
          </cell>
          <cell r="C10119">
            <v>3365.78</v>
          </cell>
        </row>
        <row r="10120">
          <cell r="B10120">
            <v>43681</v>
          </cell>
          <cell r="C10120">
            <v>3365.78</v>
          </cell>
        </row>
        <row r="10121">
          <cell r="B10121">
            <v>43682</v>
          </cell>
          <cell r="C10121">
            <v>3365.78</v>
          </cell>
        </row>
        <row r="10122">
          <cell r="B10122">
            <v>43683</v>
          </cell>
          <cell r="C10122">
            <v>3459.47</v>
          </cell>
        </row>
        <row r="10123">
          <cell r="B10123">
            <v>43684</v>
          </cell>
          <cell r="C10123">
            <v>3431.28</v>
          </cell>
        </row>
        <row r="10124">
          <cell r="B10124">
            <v>43685</v>
          </cell>
          <cell r="C10124">
            <v>3431.28</v>
          </cell>
        </row>
        <row r="10125">
          <cell r="B10125">
            <v>43686</v>
          </cell>
          <cell r="C10125">
            <v>3394.61</v>
          </cell>
        </row>
        <row r="10126">
          <cell r="B10126">
            <v>43687</v>
          </cell>
          <cell r="C10126">
            <v>3382.71</v>
          </cell>
        </row>
        <row r="10127">
          <cell r="B10127">
            <v>43688</v>
          </cell>
          <cell r="C10127">
            <v>3382.71</v>
          </cell>
        </row>
        <row r="10128">
          <cell r="B10128">
            <v>43689</v>
          </cell>
          <cell r="C10128">
            <v>3382.71</v>
          </cell>
        </row>
        <row r="10129">
          <cell r="B10129">
            <v>43690</v>
          </cell>
          <cell r="C10129">
            <v>3436.26</v>
          </cell>
        </row>
        <row r="10130">
          <cell r="B10130">
            <v>43691</v>
          </cell>
          <cell r="C10130">
            <v>3407.76</v>
          </cell>
        </row>
        <row r="10131">
          <cell r="B10131">
            <v>43692</v>
          </cell>
          <cell r="C10131">
            <v>3449.27</v>
          </cell>
        </row>
        <row r="10132">
          <cell r="B10132">
            <v>43693</v>
          </cell>
          <cell r="C10132">
            <v>3447.76</v>
          </cell>
        </row>
        <row r="10133">
          <cell r="B10133">
            <v>43694</v>
          </cell>
          <cell r="C10133">
            <v>3441.4</v>
          </cell>
        </row>
        <row r="10134">
          <cell r="B10134">
            <v>43695</v>
          </cell>
          <cell r="C10134">
            <v>3441.4</v>
          </cell>
        </row>
        <row r="10135">
          <cell r="B10135">
            <v>43696</v>
          </cell>
          <cell r="C10135">
            <v>3441.4</v>
          </cell>
        </row>
        <row r="10136">
          <cell r="B10136">
            <v>43697</v>
          </cell>
          <cell r="C10136">
            <v>3441.4</v>
          </cell>
        </row>
        <row r="10137">
          <cell r="B10137">
            <v>43698</v>
          </cell>
          <cell r="C10137">
            <v>3420.99</v>
          </cell>
        </row>
        <row r="10138">
          <cell r="B10138">
            <v>43699</v>
          </cell>
          <cell r="C10138">
            <v>3385.28</v>
          </cell>
        </row>
        <row r="10139">
          <cell r="B10139">
            <v>43700</v>
          </cell>
          <cell r="C10139">
            <v>3376.99</v>
          </cell>
        </row>
        <row r="10140">
          <cell r="B10140">
            <v>43701</v>
          </cell>
          <cell r="C10140">
            <v>3399.95</v>
          </cell>
        </row>
        <row r="10141">
          <cell r="B10141">
            <v>43702</v>
          </cell>
          <cell r="C10141">
            <v>3399.95</v>
          </cell>
        </row>
        <row r="10142">
          <cell r="B10142">
            <v>43703</v>
          </cell>
          <cell r="C10142">
            <v>3399.95</v>
          </cell>
        </row>
        <row r="10143">
          <cell r="B10143">
            <v>43704</v>
          </cell>
          <cell r="C10143">
            <v>3432.85</v>
          </cell>
        </row>
        <row r="10144">
          <cell r="B10144">
            <v>43705</v>
          </cell>
          <cell r="C10144">
            <v>3457.89</v>
          </cell>
        </row>
        <row r="10145">
          <cell r="B10145">
            <v>43706</v>
          </cell>
          <cell r="C10145">
            <v>3477.53</v>
          </cell>
        </row>
        <row r="10146">
          <cell r="B10146">
            <v>43707</v>
          </cell>
          <cell r="C10146">
            <v>3464.15</v>
          </cell>
        </row>
        <row r="10147">
          <cell r="B10147">
            <v>43708</v>
          </cell>
          <cell r="C10147">
            <v>3427.29</v>
          </cell>
        </row>
        <row r="10148">
          <cell r="B10148">
            <v>43709</v>
          </cell>
          <cell r="C10148">
            <v>3427.29</v>
          </cell>
        </row>
        <row r="10149">
          <cell r="B10149">
            <v>43710</v>
          </cell>
          <cell r="C10149">
            <v>3427.29</v>
          </cell>
        </row>
        <row r="10150">
          <cell r="B10150">
            <v>43711</v>
          </cell>
          <cell r="C10150">
            <v>3427.29</v>
          </cell>
        </row>
        <row r="10151">
          <cell r="B10151">
            <v>43712</v>
          </cell>
          <cell r="C10151">
            <v>3438.61</v>
          </cell>
        </row>
        <row r="10152">
          <cell r="B10152">
            <v>43713</v>
          </cell>
          <cell r="C10152">
            <v>3401.04</v>
          </cell>
        </row>
        <row r="10153">
          <cell r="B10153">
            <v>43714</v>
          </cell>
          <cell r="C10153">
            <v>3377.39</v>
          </cell>
        </row>
        <row r="10154">
          <cell r="B10154">
            <v>43715</v>
          </cell>
          <cell r="C10154">
            <v>3361.7</v>
          </cell>
        </row>
        <row r="10155">
          <cell r="B10155">
            <v>43716</v>
          </cell>
          <cell r="C10155">
            <v>3361.7</v>
          </cell>
        </row>
        <row r="10156">
          <cell r="B10156">
            <v>43717</v>
          </cell>
          <cell r="C10156">
            <v>3361.7</v>
          </cell>
        </row>
        <row r="10157">
          <cell r="B10157">
            <v>43718</v>
          </cell>
          <cell r="C10157">
            <v>3368.8</v>
          </cell>
        </row>
        <row r="10158">
          <cell r="B10158">
            <v>43719</v>
          </cell>
          <cell r="C10158">
            <v>3373.75</v>
          </cell>
        </row>
        <row r="10159">
          <cell r="B10159">
            <v>43720</v>
          </cell>
          <cell r="C10159">
            <v>3372.48</v>
          </cell>
        </row>
        <row r="10160">
          <cell r="B10160">
            <v>43721</v>
          </cell>
          <cell r="C10160">
            <v>3359.2</v>
          </cell>
        </row>
        <row r="10161">
          <cell r="B10161">
            <v>43722</v>
          </cell>
          <cell r="C10161">
            <v>3356.15</v>
          </cell>
        </row>
        <row r="10162">
          <cell r="B10162">
            <v>43723</v>
          </cell>
          <cell r="C10162">
            <v>3356.15</v>
          </cell>
        </row>
        <row r="10163">
          <cell r="B10163">
            <v>43724</v>
          </cell>
          <cell r="C10163">
            <v>3356.15</v>
          </cell>
        </row>
        <row r="10164">
          <cell r="B10164">
            <v>43725</v>
          </cell>
          <cell r="C10164">
            <v>3364.43</v>
          </cell>
        </row>
        <row r="10165">
          <cell r="B10165">
            <v>43726</v>
          </cell>
          <cell r="C10165">
            <v>3380.92</v>
          </cell>
        </row>
        <row r="10166">
          <cell r="B10166">
            <v>43727</v>
          </cell>
          <cell r="C10166">
            <v>3377.79</v>
          </cell>
        </row>
        <row r="10167">
          <cell r="B10167">
            <v>43728</v>
          </cell>
          <cell r="C10167">
            <v>3377.72</v>
          </cell>
        </row>
        <row r="10168">
          <cell r="B10168">
            <v>43729</v>
          </cell>
          <cell r="C10168">
            <v>3402.32</v>
          </cell>
        </row>
        <row r="10169">
          <cell r="B10169">
            <v>43730</v>
          </cell>
          <cell r="C10169">
            <v>3402.32</v>
          </cell>
        </row>
        <row r="10170">
          <cell r="B10170">
            <v>43731</v>
          </cell>
          <cell r="C10170">
            <v>3402.32</v>
          </cell>
        </row>
        <row r="10171">
          <cell r="B10171">
            <v>43732</v>
          </cell>
          <cell r="C10171">
            <v>3437.78</v>
          </cell>
        </row>
        <row r="10172">
          <cell r="B10172">
            <v>43733</v>
          </cell>
          <cell r="C10172">
            <v>3438.66</v>
          </cell>
        </row>
        <row r="10173">
          <cell r="B10173">
            <v>43734</v>
          </cell>
          <cell r="C10173">
            <v>3451.02</v>
          </cell>
        </row>
        <row r="10174">
          <cell r="B10174">
            <v>43735</v>
          </cell>
          <cell r="C10174">
            <v>3435.71</v>
          </cell>
        </row>
        <row r="10175">
          <cell r="B10175">
            <v>43736</v>
          </cell>
          <cell r="C10175">
            <v>3462.01</v>
          </cell>
        </row>
        <row r="10176">
          <cell r="B10176">
            <v>43737</v>
          </cell>
          <cell r="C10176">
            <v>3462.01</v>
          </cell>
        </row>
        <row r="10177">
          <cell r="B10177">
            <v>43738</v>
          </cell>
          <cell r="C10177">
            <v>3462.01</v>
          </cell>
        </row>
        <row r="10178">
          <cell r="B10178">
            <v>43739</v>
          </cell>
          <cell r="C10178">
            <v>3477.45</v>
          </cell>
        </row>
        <row r="10179">
          <cell r="B10179">
            <v>43740</v>
          </cell>
          <cell r="C10179">
            <v>3491.29</v>
          </cell>
        </row>
        <row r="10180">
          <cell r="B10180">
            <v>43741</v>
          </cell>
          <cell r="C10180">
            <v>3497.34</v>
          </cell>
        </row>
        <row r="10181">
          <cell r="B10181">
            <v>43742</v>
          </cell>
          <cell r="C10181">
            <v>3467.6</v>
          </cell>
        </row>
        <row r="10182">
          <cell r="B10182">
            <v>43743</v>
          </cell>
          <cell r="C10182">
            <v>3430.28</v>
          </cell>
        </row>
        <row r="10183">
          <cell r="B10183">
            <v>43744</v>
          </cell>
          <cell r="C10183">
            <v>3430.28</v>
          </cell>
        </row>
        <row r="10184">
          <cell r="B10184">
            <v>43745</v>
          </cell>
          <cell r="C10184">
            <v>3430.28</v>
          </cell>
        </row>
        <row r="10185">
          <cell r="B10185">
            <v>43746</v>
          </cell>
          <cell r="C10185">
            <v>3445.76</v>
          </cell>
        </row>
        <row r="10186">
          <cell r="B10186">
            <v>43747</v>
          </cell>
          <cell r="C10186">
            <v>3452.57</v>
          </cell>
        </row>
        <row r="10187">
          <cell r="B10187">
            <v>43748</v>
          </cell>
          <cell r="C10187">
            <v>3454.56</v>
          </cell>
        </row>
        <row r="10188">
          <cell r="B10188">
            <v>43749</v>
          </cell>
          <cell r="C10188">
            <v>3458.42</v>
          </cell>
        </row>
        <row r="10189">
          <cell r="B10189">
            <v>43750</v>
          </cell>
          <cell r="C10189">
            <v>3431.46</v>
          </cell>
        </row>
        <row r="10190">
          <cell r="B10190">
            <v>43751</v>
          </cell>
          <cell r="C10190">
            <v>3431.46</v>
          </cell>
        </row>
        <row r="10191">
          <cell r="B10191">
            <v>43752</v>
          </cell>
          <cell r="C10191">
            <v>3431.46</v>
          </cell>
        </row>
        <row r="10192">
          <cell r="B10192">
            <v>43753</v>
          </cell>
          <cell r="C10192">
            <v>3431.46</v>
          </cell>
        </row>
        <row r="10193">
          <cell r="B10193">
            <v>43754</v>
          </cell>
          <cell r="C10193">
            <v>3451.33</v>
          </cell>
        </row>
        <row r="10194">
          <cell r="B10194">
            <v>43755</v>
          </cell>
          <cell r="C10194">
            <v>3459.55</v>
          </cell>
        </row>
        <row r="10195">
          <cell r="B10195">
            <v>43756</v>
          </cell>
          <cell r="C10195">
            <v>3465.35</v>
          </cell>
        </row>
        <row r="10196">
          <cell r="B10196">
            <v>43757</v>
          </cell>
          <cell r="C10196">
            <v>3428.63</v>
          </cell>
        </row>
        <row r="10197">
          <cell r="B10197">
            <v>43758</v>
          </cell>
          <cell r="C10197">
            <v>3428.63</v>
          </cell>
        </row>
        <row r="10198">
          <cell r="B10198">
            <v>43759</v>
          </cell>
          <cell r="C10198">
            <v>3428.63</v>
          </cell>
        </row>
        <row r="10199">
          <cell r="B10199">
            <v>43760</v>
          </cell>
          <cell r="C10199">
            <v>3442.78</v>
          </cell>
        </row>
        <row r="10200">
          <cell r="B10200">
            <v>43761</v>
          </cell>
          <cell r="C10200">
            <v>3430.3</v>
          </cell>
        </row>
        <row r="10201">
          <cell r="B10201">
            <v>43762</v>
          </cell>
          <cell r="C10201">
            <v>3409.29</v>
          </cell>
        </row>
        <row r="10202">
          <cell r="B10202">
            <v>43763</v>
          </cell>
          <cell r="C10202">
            <v>3387.72</v>
          </cell>
        </row>
        <row r="10203">
          <cell r="B10203">
            <v>43764</v>
          </cell>
          <cell r="C10203">
            <v>3395.25</v>
          </cell>
        </row>
        <row r="10204">
          <cell r="B10204">
            <v>43765</v>
          </cell>
          <cell r="C10204">
            <v>3395.25</v>
          </cell>
        </row>
        <row r="10205">
          <cell r="B10205">
            <v>43766</v>
          </cell>
          <cell r="C10205">
            <v>3395.25</v>
          </cell>
        </row>
        <row r="10206">
          <cell r="B10206">
            <v>43767</v>
          </cell>
          <cell r="C10206">
            <v>3382.19</v>
          </cell>
        </row>
        <row r="10207">
          <cell r="B10207">
            <v>43768</v>
          </cell>
          <cell r="C10207">
            <v>3380.9</v>
          </cell>
        </row>
        <row r="10208">
          <cell r="B10208">
            <v>43769</v>
          </cell>
          <cell r="C10208">
            <v>3389.94</v>
          </cell>
        </row>
        <row r="10209">
          <cell r="B10209">
            <v>43770</v>
          </cell>
          <cell r="C10209">
            <v>3383.29</v>
          </cell>
        </row>
        <row r="10210">
          <cell r="B10210">
            <v>43771</v>
          </cell>
          <cell r="C10210">
            <v>3339.19</v>
          </cell>
        </row>
        <row r="10211">
          <cell r="B10211">
            <v>43772</v>
          </cell>
          <cell r="C10211">
            <v>3339.19</v>
          </cell>
        </row>
        <row r="10212">
          <cell r="B10212">
            <v>43773</v>
          </cell>
          <cell r="C10212">
            <v>3339.19</v>
          </cell>
        </row>
        <row r="10213">
          <cell r="B10213">
            <v>43774</v>
          </cell>
          <cell r="C10213">
            <v>3339.19</v>
          </cell>
        </row>
        <row r="10214">
          <cell r="B10214">
            <v>43775</v>
          </cell>
          <cell r="C10214">
            <v>3318.47</v>
          </cell>
        </row>
        <row r="10215">
          <cell r="B10215">
            <v>43776</v>
          </cell>
          <cell r="C10215">
            <v>3319.64</v>
          </cell>
        </row>
        <row r="10216">
          <cell r="B10216">
            <v>43777</v>
          </cell>
          <cell r="C10216">
            <v>3327.02</v>
          </cell>
        </row>
        <row r="10217">
          <cell r="B10217">
            <v>43778</v>
          </cell>
          <cell r="C10217">
            <v>3341.01</v>
          </cell>
        </row>
        <row r="10218">
          <cell r="B10218">
            <v>43779</v>
          </cell>
          <cell r="C10218">
            <v>3341.01</v>
          </cell>
        </row>
        <row r="10219">
          <cell r="B10219">
            <v>43780</v>
          </cell>
          <cell r="C10219">
            <v>3341.01</v>
          </cell>
        </row>
        <row r="10220">
          <cell r="B10220">
            <v>43781</v>
          </cell>
          <cell r="C10220">
            <v>3341.01</v>
          </cell>
        </row>
        <row r="10221">
          <cell r="B10221">
            <v>43782</v>
          </cell>
          <cell r="C10221">
            <v>3384.21</v>
          </cell>
        </row>
        <row r="10222">
          <cell r="B10222">
            <v>43783</v>
          </cell>
          <cell r="C10222">
            <v>3441.89</v>
          </cell>
        </row>
        <row r="10223">
          <cell r="B10223">
            <v>43784</v>
          </cell>
          <cell r="C10223">
            <v>3452.67</v>
          </cell>
        </row>
        <row r="10224">
          <cell r="B10224">
            <v>43785</v>
          </cell>
          <cell r="C10224">
            <v>3421.26</v>
          </cell>
        </row>
        <row r="10225">
          <cell r="B10225">
            <v>43786</v>
          </cell>
          <cell r="C10225">
            <v>3421.26</v>
          </cell>
        </row>
        <row r="10226">
          <cell r="B10226">
            <v>43787</v>
          </cell>
          <cell r="C10226">
            <v>3421.26</v>
          </cell>
        </row>
        <row r="10227">
          <cell r="B10227">
            <v>43788</v>
          </cell>
          <cell r="C10227">
            <v>3447.74</v>
          </cell>
        </row>
        <row r="10228">
          <cell r="B10228">
            <v>43789</v>
          </cell>
          <cell r="C10228">
            <v>3434.49</v>
          </cell>
        </row>
        <row r="10229">
          <cell r="B10229">
            <v>43790</v>
          </cell>
          <cell r="C10229">
            <v>3445.95</v>
          </cell>
        </row>
        <row r="10230">
          <cell r="B10230">
            <v>43791</v>
          </cell>
          <cell r="C10230">
            <v>3440.66</v>
          </cell>
        </row>
        <row r="10231">
          <cell r="B10231">
            <v>43792</v>
          </cell>
          <cell r="C10231">
            <v>3410.77</v>
          </cell>
        </row>
        <row r="10232">
          <cell r="B10232">
            <v>43793</v>
          </cell>
          <cell r="C10232">
            <v>3410.77</v>
          </cell>
        </row>
        <row r="10233">
          <cell r="B10233">
            <v>43794</v>
          </cell>
          <cell r="C10233">
            <v>3410.77</v>
          </cell>
        </row>
        <row r="10234">
          <cell r="B10234">
            <v>43795</v>
          </cell>
          <cell r="C10234">
            <v>3433.94</v>
          </cell>
        </row>
        <row r="10235">
          <cell r="B10235">
            <v>43796</v>
          </cell>
          <cell r="C10235">
            <v>3469.01</v>
          </cell>
        </row>
        <row r="10236">
          <cell r="B10236">
            <v>43797</v>
          </cell>
          <cell r="C10236">
            <v>3502.92</v>
          </cell>
        </row>
        <row r="10237">
          <cell r="B10237">
            <v>43798</v>
          </cell>
          <cell r="C10237">
            <v>3502.92</v>
          </cell>
        </row>
        <row r="10238">
          <cell r="B10238">
            <v>43799</v>
          </cell>
          <cell r="C10238">
            <v>3522.48</v>
          </cell>
        </row>
        <row r="10239">
          <cell r="B10239">
            <v>43800</v>
          </cell>
          <cell r="C10239">
            <v>3522.48</v>
          </cell>
        </row>
        <row r="10240">
          <cell r="B10240">
            <v>43801</v>
          </cell>
          <cell r="C10240">
            <v>3522.48</v>
          </cell>
        </row>
        <row r="10241">
          <cell r="B10241">
            <v>43802</v>
          </cell>
          <cell r="C10241">
            <v>3508.39</v>
          </cell>
        </row>
        <row r="10242">
          <cell r="B10242">
            <v>43803</v>
          </cell>
          <cell r="C10242">
            <v>3506.67</v>
          </cell>
        </row>
        <row r="10243">
          <cell r="B10243">
            <v>43804</v>
          </cell>
          <cell r="C10243">
            <v>3478.57</v>
          </cell>
        </row>
        <row r="10244">
          <cell r="B10244">
            <v>43805</v>
          </cell>
          <cell r="C10244">
            <v>3459.97</v>
          </cell>
        </row>
        <row r="10245">
          <cell r="B10245">
            <v>43806</v>
          </cell>
          <cell r="C10245">
            <v>3430.31</v>
          </cell>
        </row>
        <row r="10246">
          <cell r="B10246">
            <v>43807</v>
          </cell>
          <cell r="C10246">
            <v>3430.31</v>
          </cell>
        </row>
        <row r="10247">
          <cell r="B10247">
            <v>43808</v>
          </cell>
          <cell r="C10247">
            <v>3430.31</v>
          </cell>
        </row>
        <row r="10248">
          <cell r="B10248">
            <v>43809</v>
          </cell>
          <cell r="C10248">
            <v>3418.48</v>
          </cell>
        </row>
        <row r="10249">
          <cell r="B10249">
            <v>43810</v>
          </cell>
          <cell r="C10249">
            <v>3418.61</v>
          </cell>
        </row>
        <row r="10250">
          <cell r="B10250">
            <v>43811</v>
          </cell>
          <cell r="C10250">
            <v>3387.73</v>
          </cell>
        </row>
        <row r="10251">
          <cell r="B10251">
            <v>43812</v>
          </cell>
          <cell r="C10251">
            <v>3372.23</v>
          </cell>
        </row>
        <row r="10252">
          <cell r="B10252">
            <v>43813</v>
          </cell>
          <cell r="C10252">
            <v>3374.29</v>
          </cell>
        </row>
        <row r="10253">
          <cell r="B10253">
            <v>43814</v>
          </cell>
          <cell r="C10253">
            <v>3374.29</v>
          </cell>
        </row>
        <row r="10254">
          <cell r="B10254">
            <v>43815</v>
          </cell>
          <cell r="C10254">
            <v>3374.29</v>
          </cell>
        </row>
        <row r="10255">
          <cell r="B10255">
            <v>43816</v>
          </cell>
          <cell r="C10255">
            <v>3364.24</v>
          </cell>
        </row>
        <row r="10256">
          <cell r="B10256">
            <v>43817</v>
          </cell>
          <cell r="C10256">
            <v>3347.86</v>
          </cell>
        </row>
        <row r="10257">
          <cell r="B10257">
            <v>43818</v>
          </cell>
          <cell r="C10257">
            <v>3329.98</v>
          </cell>
        </row>
        <row r="10258">
          <cell r="B10258">
            <v>43819</v>
          </cell>
          <cell r="C10258">
            <v>3322.38</v>
          </cell>
        </row>
        <row r="10259">
          <cell r="B10259">
            <v>43820</v>
          </cell>
          <cell r="C10259">
            <v>3325.47</v>
          </cell>
        </row>
        <row r="10260">
          <cell r="B10260">
            <v>43821</v>
          </cell>
          <cell r="C10260">
            <v>3325.47</v>
          </cell>
        </row>
        <row r="10261">
          <cell r="B10261">
            <v>43822</v>
          </cell>
          <cell r="C10261">
            <v>3325.47</v>
          </cell>
        </row>
        <row r="10262">
          <cell r="B10262">
            <v>43823</v>
          </cell>
          <cell r="C10262">
            <v>3316.92</v>
          </cell>
        </row>
        <row r="10263">
          <cell r="B10263">
            <v>43824</v>
          </cell>
          <cell r="C10263">
            <v>3305.84</v>
          </cell>
        </row>
        <row r="10264">
          <cell r="B10264">
            <v>43825</v>
          </cell>
          <cell r="C10264">
            <v>3305.84</v>
          </cell>
        </row>
        <row r="10265">
          <cell r="B10265">
            <v>43826</v>
          </cell>
          <cell r="C10265">
            <v>3281.4</v>
          </cell>
        </row>
        <row r="10266">
          <cell r="B10266">
            <v>43827</v>
          </cell>
          <cell r="C10266">
            <v>3294.05</v>
          </cell>
        </row>
        <row r="10267">
          <cell r="B10267">
            <v>43828</v>
          </cell>
          <cell r="C10267">
            <v>3294.05</v>
          </cell>
        </row>
        <row r="10268">
          <cell r="B10268">
            <v>43829</v>
          </cell>
          <cell r="C10268">
            <v>3294.05</v>
          </cell>
        </row>
        <row r="10269">
          <cell r="B10269">
            <v>43830</v>
          </cell>
          <cell r="C10269">
            <v>3277.14</v>
          </cell>
        </row>
        <row r="10270">
          <cell r="B10270">
            <v>43831</v>
          </cell>
          <cell r="C10270">
            <v>3277.14</v>
          </cell>
        </row>
        <row r="10271">
          <cell r="B10271">
            <v>43832</v>
          </cell>
          <cell r="C10271">
            <v>3277.14</v>
          </cell>
        </row>
        <row r="10272">
          <cell r="B10272">
            <v>43833</v>
          </cell>
          <cell r="C10272">
            <v>3258.84</v>
          </cell>
        </row>
        <row r="10273">
          <cell r="B10273">
            <v>43834</v>
          </cell>
          <cell r="C10273">
            <v>3262.05</v>
          </cell>
        </row>
        <row r="10274">
          <cell r="B10274">
            <v>43835</v>
          </cell>
          <cell r="C10274">
            <v>3262.05</v>
          </cell>
        </row>
        <row r="10275">
          <cell r="B10275">
            <v>43836</v>
          </cell>
          <cell r="C10275">
            <v>3262.05</v>
          </cell>
        </row>
        <row r="10276">
          <cell r="B10276">
            <v>43837</v>
          </cell>
          <cell r="C10276">
            <v>3262.05</v>
          </cell>
        </row>
        <row r="10277">
          <cell r="B10277">
            <v>43838</v>
          </cell>
          <cell r="C10277">
            <v>3264.26</v>
          </cell>
        </row>
        <row r="10278">
          <cell r="B10278">
            <v>43839</v>
          </cell>
          <cell r="C10278">
            <v>3254.42</v>
          </cell>
        </row>
        <row r="10279">
          <cell r="B10279">
            <v>43840</v>
          </cell>
          <cell r="C10279">
            <v>3253.89</v>
          </cell>
        </row>
        <row r="10280">
          <cell r="B10280">
            <v>43841</v>
          </cell>
          <cell r="C10280">
            <v>3272.62</v>
          </cell>
        </row>
        <row r="10281">
          <cell r="B10281">
            <v>43842</v>
          </cell>
          <cell r="C10281">
            <v>3272.62</v>
          </cell>
        </row>
        <row r="10282">
          <cell r="B10282">
            <v>43843</v>
          </cell>
          <cell r="C10282">
            <v>3272.62</v>
          </cell>
        </row>
        <row r="10283">
          <cell r="B10283">
            <v>43844</v>
          </cell>
          <cell r="C10283">
            <v>3288.05</v>
          </cell>
        </row>
        <row r="10284">
          <cell r="B10284">
            <v>43845</v>
          </cell>
          <cell r="C10284">
            <v>3278.83</v>
          </cell>
        </row>
        <row r="10285">
          <cell r="B10285">
            <v>43846</v>
          </cell>
          <cell r="C10285">
            <v>3296.74</v>
          </cell>
        </row>
        <row r="10286">
          <cell r="B10286">
            <v>43847</v>
          </cell>
          <cell r="C10286">
            <v>3313.4</v>
          </cell>
        </row>
        <row r="10287">
          <cell r="B10287">
            <v>43848</v>
          </cell>
          <cell r="C10287">
            <v>3320.77</v>
          </cell>
        </row>
        <row r="10288">
          <cell r="B10288">
            <v>43849</v>
          </cell>
          <cell r="C10288">
            <v>3320.77</v>
          </cell>
        </row>
        <row r="10289">
          <cell r="B10289">
            <v>43850</v>
          </cell>
          <cell r="C10289">
            <v>3320.77</v>
          </cell>
        </row>
        <row r="10290">
          <cell r="B10290">
            <v>43851</v>
          </cell>
          <cell r="C10290">
            <v>3320.77</v>
          </cell>
        </row>
        <row r="10291">
          <cell r="B10291">
            <v>43852</v>
          </cell>
          <cell r="C10291">
            <v>3347.91</v>
          </cell>
        </row>
        <row r="10292">
          <cell r="B10292">
            <v>43853</v>
          </cell>
          <cell r="C10292">
            <v>3337.77</v>
          </cell>
        </row>
        <row r="10293">
          <cell r="B10293">
            <v>43854</v>
          </cell>
          <cell r="C10293">
            <v>3353.76</v>
          </cell>
        </row>
        <row r="10294">
          <cell r="B10294">
            <v>43855</v>
          </cell>
          <cell r="C10294">
            <v>3366.01</v>
          </cell>
        </row>
        <row r="10295">
          <cell r="B10295">
            <v>43856</v>
          </cell>
          <cell r="C10295">
            <v>3366.01</v>
          </cell>
        </row>
        <row r="10296">
          <cell r="B10296">
            <v>43857</v>
          </cell>
          <cell r="C10296">
            <v>3366.01</v>
          </cell>
        </row>
        <row r="10297">
          <cell r="B10297">
            <v>43858</v>
          </cell>
          <cell r="C10297">
            <v>3398.4</v>
          </cell>
        </row>
        <row r="10298">
          <cell r="B10298">
            <v>43859</v>
          </cell>
          <cell r="C10298">
            <v>3392.6</v>
          </cell>
        </row>
        <row r="10299">
          <cell r="B10299">
            <v>43860</v>
          </cell>
          <cell r="C10299">
            <v>3395.1</v>
          </cell>
        </row>
        <row r="10300">
          <cell r="B10300">
            <v>43861</v>
          </cell>
          <cell r="C10300" t="str">
            <v>$ 3.411,45</v>
          </cell>
        </row>
        <row r="10301">
          <cell r="B10301">
            <v>43862</v>
          </cell>
          <cell r="C10301">
            <v>3423.24</v>
          </cell>
        </row>
        <row r="10302">
          <cell r="B10302">
            <v>43863</v>
          </cell>
          <cell r="C10302">
            <v>3423.24</v>
          </cell>
        </row>
        <row r="10303">
          <cell r="B10303">
            <v>43864</v>
          </cell>
          <cell r="C10303">
            <v>3423.24</v>
          </cell>
        </row>
        <row r="10304">
          <cell r="B10304">
            <v>43865</v>
          </cell>
          <cell r="C10304">
            <v>3401.56</v>
          </cell>
        </row>
        <row r="10305">
          <cell r="B10305">
            <v>43866</v>
          </cell>
          <cell r="C10305">
            <v>3368.87</v>
          </cell>
        </row>
        <row r="10306">
          <cell r="B10306">
            <v>43867</v>
          </cell>
          <cell r="C10306">
            <v>3355.44</v>
          </cell>
        </row>
        <row r="10307">
          <cell r="B10307">
            <v>43868</v>
          </cell>
          <cell r="C10307">
            <v>3378.43</v>
          </cell>
        </row>
        <row r="10308">
          <cell r="B10308">
            <v>43869</v>
          </cell>
          <cell r="C10308">
            <v>3408.35</v>
          </cell>
        </row>
        <row r="10309">
          <cell r="B10309">
            <v>43870</v>
          </cell>
          <cell r="C10309">
            <v>3408.35</v>
          </cell>
        </row>
        <row r="10310">
          <cell r="B10310">
            <v>43871</v>
          </cell>
          <cell r="C10310">
            <v>3408.35</v>
          </cell>
        </row>
        <row r="10311">
          <cell r="B10311">
            <v>43872</v>
          </cell>
          <cell r="C10311">
            <v>3440.96</v>
          </cell>
        </row>
        <row r="10312">
          <cell r="B10312">
            <v>43873</v>
          </cell>
          <cell r="C10312">
            <v>3432.89</v>
          </cell>
        </row>
        <row r="10313">
          <cell r="B10313">
            <v>43874</v>
          </cell>
          <cell r="C10313">
            <v>3394.8</v>
          </cell>
        </row>
        <row r="10314">
          <cell r="B10314">
            <v>43875</v>
          </cell>
          <cell r="C10314">
            <v>3385.11</v>
          </cell>
        </row>
        <row r="10315">
          <cell r="B10315">
            <v>43876</v>
          </cell>
          <cell r="C10315">
            <v>3378.29</v>
          </cell>
        </row>
        <row r="10316">
          <cell r="B10316">
            <v>43877</v>
          </cell>
          <cell r="C10316">
            <v>3378.29</v>
          </cell>
        </row>
        <row r="10317">
          <cell r="B10317">
            <v>43878</v>
          </cell>
          <cell r="C10317">
            <v>3378.29</v>
          </cell>
        </row>
        <row r="10318">
          <cell r="B10318">
            <v>43879</v>
          </cell>
          <cell r="C10318">
            <v>3378.29</v>
          </cell>
        </row>
        <row r="10319">
          <cell r="B10319">
            <v>43880</v>
          </cell>
          <cell r="C10319">
            <v>3410.24</v>
          </cell>
        </row>
        <row r="10320">
          <cell r="B10320">
            <v>43881</v>
          </cell>
          <cell r="C10320">
            <v>3400.98</v>
          </cell>
        </row>
        <row r="10321">
          <cell r="B10321">
            <v>43882</v>
          </cell>
          <cell r="C10321">
            <v>3403.5</v>
          </cell>
        </row>
        <row r="10322">
          <cell r="B10322">
            <v>43883</v>
          </cell>
          <cell r="C10322">
            <v>3398.05</v>
          </cell>
        </row>
        <row r="10323">
          <cell r="B10323">
            <v>43884</v>
          </cell>
          <cell r="C10323">
            <v>3398.05</v>
          </cell>
        </row>
        <row r="10324">
          <cell r="B10324">
            <v>43885</v>
          </cell>
          <cell r="C10324">
            <v>3398.05</v>
          </cell>
        </row>
        <row r="10325">
          <cell r="B10325">
            <v>43886</v>
          </cell>
          <cell r="C10325">
            <v>3431.6</v>
          </cell>
        </row>
        <row r="10326">
          <cell r="B10326">
            <v>43887</v>
          </cell>
          <cell r="C10326">
            <v>3425.22</v>
          </cell>
        </row>
        <row r="10327">
          <cell r="B10327">
            <v>43888</v>
          </cell>
          <cell r="C10327">
            <v>3441.88</v>
          </cell>
        </row>
        <row r="10328">
          <cell r="B10328">
            <v>43889</v>
          </cell>
          <cell r="C10328">
            <v>3507.11</v>
          </cell>
        </row>
        <row r="10329">
          <cell r="B10329">
            <v>43890</v>
          </cell>
          <cell r="C10329">
            <v>3539.86</v>
          </cell>
        </row>
        <row r="10330">
          <cell r="B10330">
            <v>43891</v>
          </cell>
          <cell r="C10330">
            <v>3539.86</v>
          </cell>
        </row>
        <row r="10331">
          <cell r="B10331">
            <v>43892</v>
          </cell>
          <cell r="C10331">
            <v>3539.86</v>
          </cell>
        </row>
        <row r="10332">
          <cell r="B10332">
            <v>43893</v>
          </cell>
          <cell r="C10332">
            <v>3512.17</v>
          </cell>
        </row>
        <row r="10333">
          <cell r="B10333">
            <v>43894</v>
          </cell>
          <cell r="C10333">
            <v>3455.56</v>
          </cell>
        </row>
        <row r="10334">
          <cell r="B10334">
            <v>43895</v>
          </cell>
          <cell r="C10334">
            <v>3458.45</v>
          </cell>
        </row>
        <row r="10335">
          <cell r="B10335">
            <v>43896</v>
          </cell>
          <cell r="C10335">
            <v>3522.41</v>
          </cell>
        </row>
        <row r="10336">
          <cell r="B10336">
            <v>43897</v>
          </cell>
          <cell r="C10336">
            <v>3584.58</v>
          </cell>
        </row>
        <row r="10337">
          <cell r="B10337">
            <v>43898</v>
          </cell>
          <cell r="C10337">
            <v>3584.58</v>
          </cell>
        </row>
        <row r="10338">
          <cell r="B10338">
            <v>43899</v>
          </cell>
          <cell r="C10338">
            <v>3584.58</v>
          </cell>
        </row>
        <row r="10339">
          <cell r="B10339">
            <v>43900</v>
          </cell>
          <cell r="C10339">
            <v>3803.6</v>
          </cell>
        </row>
        <row r="10340">
          <cell r="B10340">
            <v>43901</v>
          </cell>
          <cell r="C10340">
            <v>3780.39</v>
          </cell>
        </row>
        <row r="10341">
          <cell r="B10341">
            <v>43902</v>
          </cell>
          <cell r="C10341">
            <v>3835.15</v>
          </cell>
        </row>
        <row r="10342">
          <cell r="B10342">
            <v>43903</v>
          </cell>
          <cell r="C10342">
            <v>4034.66</v>
          </cell>
        </row>
        <row r="10343">
          <cell r="B10343">
            <v>43904</v>
          </cell>
          <cell r="C10343">
            <v>3941.92</v>
          </cell>
        </row>
        <row r="10344">
          <cell r="B10344">
            <v>43905</v>
          </cell>
          <cell r="C10344">
            <v>3941.92</v>
          </cell>
        </row>
        <row r="10345">
          <cell r="B10345">
            <v>43906</v>
          </cell>
          <cell r="C10345">
            <v>3941.92</v>
          </cell>
        </row>
        <row r="10346">
          <cell r="B10346">
            <v>43907</v>
          </cell>
          <cell r="C10346">
            <v>4099.93</v>
          </cell>
        </row>
        <row r="10347">
          <cell r="B10347">
            <v>43908</v>
          </cell>
          <cell r="C10347">
            <v>4044.55</v>
          </cell>
        </row>
        <row r="10348">
          <cell r="B10348">
            <v>43909</v>
          </cell>
          <cell r="C10348">
            <v>4128.38</v>
          </cell>
        </row>
        <row r="10349">
          <cell r="B10349">
            <v>43910</v>
          </cell>
          <cell r="C10349">
            <v>4153.91</v>
          </cell>
        </row>
        <row r="10350">
          <cell r="B10350">
            <v>43911</v>
          </cell>
          <cell r="C10350">
            <v>4079.96</v>
          </cell>
        </row>
        <row r="10351">
          <cell r="B10351">
            <v>43912</v>
          </cell>
          <cell r="C10351">
            <v>4079.96</v>
          </cell>
        </row>
        <row r="10352">
          <cell r="B10352">
            <v>43913</v>
          </cell>
          <cell r="C10352">
            <v>4079.96</v>
          </cell>
        </row>
        <row r="10353">
          <cell r="B10353">
            <v>43914</v>
          </cell>
          <cell r="C10353">
            <v>4079.96</v>
          </cell>
        </row>
        <row r="10354">
          <cell r="B10354">
            <v>43915</v>
          </cell>
          <cell r="C10354">
            <v>4104.8999999999996</v>
          </cell>
        </row>
        <row r="10355">
          <cell r="B10355">
            <v>43916</v>
          </cell>
          <cell r="C10355">
            <v>4086.34</v>
          </cell>
        </row>
        <row r="10356">
          <cell r="B10356">
            <v>43917</v>
          </cell>
          <cell r="C10356">
            <v>3995.83</v>
          </cell>
        </row>
        <row r="10357">
          <cell r="B10357">
            <v>43918</v>
          </cell>
          <cell r="C10357">
            <v>4042.8</v>
          </cell>
        </row>
        <row r="10358">
          <cell r="B10358">
            <v>43919</v>
          </cell>
          <cell r="C10358">
            <v>4042.8</v>
          </cell>
        </row>
        <row r="10359">
          <cell r="B10359">
            <v>43920</v>
          </cell>
          <cell r="C10359">
            <v>4042.8</v>
          </cell>
        </row>
        <row r="10360">
          <cell r="B10360">
            <v>43921</v>
          </cell>
          <cell r="C10360">
            <v>4064.81</v>
          </cell>
        </row>
        <row r="10361">
          <cell r="B10361">
            <v>43922</v>
          </cell>
          <cell r="C10361">
            <v>4054.54</v>
          </cell>
        </row>
        <row r="10362">
          <cell r="B10362">
            <v>43923</v>
          </cell>
          <cell r="C10362">
            <v>4081.06</v>
          </cell>
        </row>
        <row r="10363">
          <cell r="B10363">
            <v>43924</v>
          </cell>
          <cell r="C10363">
            <v>4065.5</v>
          </cell>
        </row>
        <row r="10364">
          <cell r="B10364">
            <v>43925</v>
          </cell>
          <cell r="C10364">
            <v>4008.78</v>
          </cell>
        </row>
        <row r="10365">
          <cell r="B10365">
            <v>43926</v>
          </cell>
          <cell r="C10365">
            <v>4008.78</v>
          </cell>
        </row>
        <row r="10366">
          <cell r="B10366">
            <v>43927</v>
          </cell>
          <cell r="C10366">
            <v>4008.78</v>
          </cell>
        </row>
        <row r="10367">
          <cell r="B10367">
            <v>43928</v>
          </cell>
          <cell r="C10367">
            <v>3978.38</v>
          </cell>
        </row>
        <row r="10368">
          <cell r="B10368">
            <v>43929</v>
          </cell>
          <cell r="C10368">
            <v>3910.15</v>
          </cell>
        </row>
        <row r="10369">
          <cell r="B10369">
            <v>43930</v>
          </cell>
          <cell r="C10369">
            <v>3886.79</v>
          </cell>
        </row>
        <row r="10370">
          <cell r="B10370">
            <v>43931</v>
          </cell>
          <cell r="C10370">
            <v>3886.79</v>
          </cell>
        </row>
        <row r="10371">
          <cell r="B10371">
            <v>43932</v>
          </cell>
          <cell r="C10371">
            <v>3886.79</v>
          </cell>
        </row>
        <row r="10372">
          <cell r="B10372">
            <v>43933</v>
          </cell>
          <cell r="C10372">
            <v>3886.79</v>
          </cell>
        </row>
        <row r="10373">
          <cell r="B10373">
            <v>43934</v>
          </cell>
          <cell r="C10373">
            <v>3886.79</v>
          </cell>
        </row>
        <row r="10374">
          <cell r="B10374">
            <v>43935</v>
          </cell>
          <cell r="C10374">
            <v>3870.31</v>
          </cell>
        </row>
        <row r="10375">
          <cell r="B10375">
            <v>43936</v>
          </cell>
          <cell r="C10375">
            <v>3858.21</v>
          </cell>
        </row>
        <row r="10376">
          <cell r="B10376">
            <v>43937</v>
          </cell>
          <cell r="C10376">
            <v>3920.83</v>
          </cell>
        </row>
        <row r="10377">
          <cell r="B10377">
            <v>43938</v>
          </cell>
          <cell r="C10377">
            <v>3942.92</v>
          </cell>
        </row>
        <row r="10378">
          <cell r="B10378">
            <v>43939</v>
          </cell>
          <cell r="C10378">
            <v>3973.06</v>
          </cell>
        </row>
        <row r="10379">
          <cell r="B10379">
            <v>43940</v>
          </cell>
          <cell r="C10379">
            <v>3973.06</v>
          </cell>
        </row>
        <row r="10380">
          <cell r="B10380">
            <v>43941</v>
          </cell>
          <cell r="C10380">
            <v>3973.06</v>
          </cell>
        </row>
        <row r="10381">
          <cell r="B10381">
            <v>43942</v>
          </cell>
          <cell r="C10381">
            <v>3967.76</v>
          </cell>
        </row>
        <row r="10382">
          <cell r="B10382">
            <v>43943</v>
          </cell>
          <cell r="C10382">
            <v>4045.01</v>
          </cell>
        </row>
        <row r="10383">
          <cell r="B10383">
            <v>43944</v>
          </cell>
          <cell r="C10383">
            <v>4037.95</v>
          </cell>
        </row>
        <row r="10384">
          <cell r="B10384">
            <v>43945</v>
          </cell>
          <cell r="C10384">
            <v>4020.94</v>
          </cell>
        </row>
        <row r="10385">
          <cell r="B10385">
            <v>43946</v>
          </cell>
          <cell r="C10385">
            <v>4039.87</v>
          </cell>
        </row>
        <row r="10386">
          <cell r="B10386">
            <v>43947</v>
          </cell>
          <cell r="C10386">
            <v>4039.87</v>
          </cell>
        </row>
        <row r="10387">
          <cell r="B10387">
            <v>43948</v>
          </cell>
          <cell r="C10387">
            <v>4039.87</v>
          </cell>
        </row>
        <row r="10388">
          <cell r="B10388">
            <v>43949</v>
          </cell>
          <cell r="C10388">
            <v>4039.83</v>
          </cell>
        </row>
        <row r="10389">
          <cell r="B10389">
            <v>43950</v>
          </cell>
          <cell r="C10389">
            <v>4046.04</v>
          </cell>
        </row>
        <row r="10390">
          <cell r="B10390">
            <v>43951</v>
          </cell>
          <cell r="C10390">
            <v>3983.29</v>
          </cell>
        </row>
        <row r="10391">
          <cell r="B10391">
            <v>43952</v>
          </cell>
          <cell r="C10391">
            <v>3932.72</v>
          </cell>
        </row>
        <row r="10392">
          <cell r="B10392">
            <v>43953</v>
          </cell>
          <cell r="C10392">
            <v>3932.72</v>
          </cell>
        </row>
        <row r="10393">
          <cell r="B10393">
            <v>43954</v>
          </cell>
          <cell r="C10393">
            <v>3932.72</v>
          </cell>
        </row>
        <row r="10394">
          <cell r="B10394">
            <v>43955</v>
          </cell>
          <cell r="C10394">
            <v>3932.72</v>
          </cell>
        </row>
        <row r="10395">
          <cell r="B10395">
            <v>43956</v>
          </cell>
          <cell r="C10395">
            <v>3990.1</v>
          </cell>
        </row>
        <row r="10396">
          <cell r="B10396">
            <v>43957</v>
          </cell>
          <cell r="C10396">
            <v>3926.07</v>
          </cell>
        </row>
        <row r="10397">
          <cell r="B10397">
            <v>43958</v>
          </cell>
          <cell r="C10397">
            <v>3961.66</v>
          </cell>
        </row>
        <row r="10398">
          <cell r="B10398">
            <v>43959</v>
          </cell>
          <cell r="C10398">
            <v>3924.54</v>
          </cell>
        </row>
        <row r="10399">
          <cell r="B10399">
            <v>43960</v>
          </cell>
          <cell r="C10399">
            <v>3882.27</v>
          </cell>
        </row>
        <row r="10400">
          <cell r="B10400">
            <v>43961</v>
          </cell>
          <cell r="C10400">
            <v>3882.27</v>
          </cell>
        </row>
        <row r="10401">
          <cell r="B10401">
            <v>43962</v>
          </cell>
          <cell r="C10401">
            <v>3882.27</v>
          </cell>
        </row>
        <row r="10402">
          <cell r="B10402">
            <v>43963</v>
          </cell>
          <cell r="C10402">
            <v>3901.34</v>
          </cell>
        </row>
        <row r="10403">
          <cell r="B10403">
            <v>43964</v>
          </cell>
          <cell r="C10403">
            <v>3880.48</v>
          </cell>
        </row>
        <row r="10404">
          <cell r="B10404">
            <v>43965</v>
          </cell>
          <cell r="C10404">
            <v>3901.3</v>
          </cell>
        </row>
        <row r="10405">
          <cell r="B10405">
            <v>43966</v>
          </cell>
          <cell r="C10405">
            <v>3947.79</v>
          </cell>
        </row>
        <row r="10406">
          <cell r="B10406">
            <v>43967</v>
          </cell>
          <cell r="C10406">
            <v>3926.06</v>
          </cell>
        </row>
        <row r="10407">
          <cell r="B10407">
            <v>43968</v>
          </cell>
          <cell r="C10407">
            <v>3926.06</v>
          </cell>
        </row>
        <row r="10408">
          <cell r="B10408">
            <v>43969</v>
          </cell>
          <cell r="C10408">
            <v>3926.06</v>
          </cell>
        </row>
        <row r="10409">
          <cell r="B10409">
            <v>43970</v>
          </cell>
          <cell r="C10409">
            <v>3851.07</v>
          </cell>
        </row>
        <row r="10410">
          <cell r="B10410">
            <v>43971</v>
          </cell>
          <cell r="C10410">
            <v>3824.3</v>
          </cell>
        </row>
        <row r="10411">
          <cell r="B10411">
            <v>43972</v>
          </cell>
          <cell r="C10411">
            <v>3804.12</v>
          </cell>
        </row>
        <row r="10412">
          <cell r="B10412">
            <v>43973</v>
          </cell>
          <cell r="C10412">
            <v>3774.25</v>
          </cell>
        </row>
        <row r="10413">
          <cell r="B10413">
            <v>43974</v>
          </cell>
          <cell r="C10413">
            <v>3782.66</v>
          </cell>
        </row>
        <row r="10414">
          <cell r="B10414">
            <v>43975</v>
          </cell>
          <cell r="C10414">
            <v>3782.66</v>
          </cell>
        </row>
        <row r="10415">
          <cell r="B10415">
            <v>43976</v>
          </cell>
          <cell r="C10415">
            <v>3782.66</v>
          </cell>
        </row>
        <row r="10416">
          <cell r="B10416">
            <v>43977</v>
          </cell>
          <cell r="C10416">
            <v>3782.66</v>
          </cell>
        </row>
        <row r="10417">
          <cell r="B10417">
            <v>43978</v>
          </cell>
          <cell r="C10417">
            <v>3725.56</v>
          </cell>
        </row>
        <row r="10418">
          <cell r="B10418">
            <v>43979</v>
          </cell>
          <cell r="C10418">
            <v>3743.79</v>
          </cell>
        </row>
        <row r="10419">
          <cell r="B10419">
            <v>43980</v>
          </cell>
          <cell r="C10419">
            <v>3723.42</v>
          </cell>
        </row>
        <row r="10420">
          <cell r="B10420">
            <v>43981</v>
          </cell>
          <cell r="C10420">
            <v>3718.82</v>
          </cell>
        </row>
        <row r="10421">
          <cell r="B10421">
            <v>43982</v>
          </cell>
          <cell r="C10421">
            <v>3718.82</v>
          </cell>
        </row>
        <row r="10422">
          <cell r="B10422">
            <v>43983</v>
          </cell>
          <cell r="C10422" t="str">
            <v>$ 3.718,82</v>
          </cell>
        </row>
        <row r="10423">
          <cell r="B10423">
            <v>43984</v>
          </cell>
          <cell r="C10423" t="str">
            <v>$ 3.716,35</v>
          </cell>
        </row>
        <row r="10424">
          <cell r="B10424">
            <v>43985</v>
          </cell>
          <cell r="C10424" t="str">
            <v>$ 3.651,42</v>
          </cell>
        </row>
        <row r="10425">
          <cell r="B10425">
            <v>43986</v>
          </cell>
          <cell r="C10425" t="str">
            <v>$ 3.588,89</v>
          </cell>
        </row>
        <row r="10426">
          <cell r="B10426">
            <v>43987</v>
          </cell>
          <cell r="C10426" t="str">
            <v>$ 3.597,47</v>
          </cell>
        </row>
        <row r="10427">
          <cell r="B10427">
            <v>43988</v>
          </cell>
          <cell r="C10427" t="str">
            <v>$ 3.565,06</v>
          </cell>
        </row>
        <row r="10428">
          <cell r="B10428">
            <v>43989</v>
          </cell>
          <cell r="C10428" t="str">
            <v>$ 3.565,06</v>
          </cell>
        </row>
        <row r="10429">
          <cell r="B10429">
            <v>43990</v>
          </cell>
          <cell r="C10429" t="str">
            <v>$ 3.565,06</v>
          </cell>
        </row>
        <row r="10430">
          <cell r="B10430">
            <v>43991</v>
          </cell>
          <cell r="C10430" t="str">
            <v>$ 3.599,00</v>
          </cell>
        </row>
        <row r="10431">
          <cell r="B10431">
            <v>43992</v>
          </cell>
          <cell r="C10431" t="str">
            <v>$ 3.643,02</v>
          </cell>
        </row>
        <row r="10432">
          <cell r="B10432">
            <v>43993</v>
          </cell>
          <cell r="C10432" t="str">
            <v>$ 3.674,81</v>
          </cell>
        </row>
        <row r="10433">
          <cell r="B10433">
            <v>43994</v>
          </cell>
          <cell r="C10433" t="str">
            <v>$ 3.746,46</v>
          </cell>
        </row>
        <row r="10434">
          <cell r="B10434">
            <v>43995</v>
          </cell>
          <cell r="C10434" t="str">
            <v>$ 3.758,15</v>
          </cell>
        </row>
        <row r="10435">
          <cell r="B10435">
            <v>43996</v>
          </cell>
          <cell r="C10435" t="str">
            <v>$ 3.758,15</v>
          </cell>
        </row>
        <row r="10436">
          <cell r="B10436">
            <v>43997</v>
          </cell>
          <cell r="C10436" t="str">
            <v>$ 3.758,15</v>
          </cell>
        </row>
        <row r="10437">
          <cell r="B10437">
            <v>43998</v>
          </cell>
          <cell r="C10437" t="str">
            <v>$ 3.758,15</v>
          </cell>
        </row>
        <row r="10438">
          <cell r="B10438">
            <v>43999</v>
          </cell>
          <cell r="C10438" t="str">
            <v>$ 3.741,88</v>
          </cell>
        </row>
        <row r="10439">
          <cell r="B10439">
            <v>44000</v>
          </cell>
          <cell r="C10439" t="str">
            <v>$ 3.749,03</v>
          </cell>
        </row>
        <row r="10440">
          <cell r="B10440">
            <v>44001</v>
          </cell>
          <cell r="C10440" t="str">
            <v>$ 3.760,22</v>
          </cell>
        </row>
        <row r="10441">
          <cell r="B10441">
            <v>44002</v>
          </cell>
          <cell r="C10441" t="str">
            <v>$ 3.733,27</v>
          </cell>
        </row>
        <row r="10442">
          <cell r="B10442">
            <v>44003</v>
          </cell>
          <cell r="C10442" t="str">
            <v>$ 3.733,27</v>
          </cell>
        </row>
        <row r="10443">
          <cell r="B10443">
            <v>44004</v>
          </cell>
          <cell r="C10443" t="str">
            <v>$ 3.733,27</v>
          </cell>
        </row>
        <row r="10444">
          <cell r="B10444">
            <v>44005</v>
          </cell>
          <cell r="C10444" t="str">
            <v>$ 3.733,27</v>
          </cell>
        </row>
        <row r="10445">
          <cell r="B10445">
            <v>44006</v>
          </cell>
          <cell r="C10445" t="str">
            <v>$ 3.706,06</v>
          </cell>
        </row>
        <row r="10446">
          <cell r="B10446">
            <v>44007</v>
          </cell>
          <cell r="C10446" t="str">
            <v>$ 3.722,27</v>
          </cell>
        </row>
        <row r="10447">
          <cell r="B10447">
            <v>44008</v>
          </cell>
          <cell r="C10447" t="str">
            <v>$ 3.735,93</v>
          </cell>
        </row>
        <row r="10448">
          <cell r="B10448">
            <v>44009</v>
          </cell>
          <cell r="C10448" t="str">
            <v>$ 3.758,91</v>
          </cell>
        </row>
        <row r="10449">
          <cell r="B10449">
            <v>44010</v>
          </cell>
          <cell r="C10449" t="str">
            <v>$ 3.758,91</v>
          </cell>
        </row>
        <row r="10450">
          <cell r="B10450">
            <v>44011</v>
          </cell>
          <cell r="C10450" t="str">
            <v>$ 3.758,91</v>
          </cell>
        </row>
        <row r="10451">
          <cell r="B10451">
            <v>44012</v>
          </cell>
          <cell r="C10451" t="str">
            <v>$ 3.758,91</v>
          </cell>
        </row>
        <row r="10452">
          <cell r="B10452">
            <v>44013</v>
          </cell>
          <cell r="C10452" t="str">
            <v>$ 3.756,28</v>
          </cell>
        </row>
        <row r="10453">
          <cell r="B10453">
            <v>44014</v>
          </cell>
          <cell r="C10453" t="str">
            <v>$ 3.723,67</v>
          </cell>
        </row>
        <row r="10454">
          <cell r="B10454">
            <v>44015</v>
          </cell>
          <cell r="C10454" t="str">
            <v>$ 3.660,18</v>
          </cell>
        </row>
        <row r="10455">
          <cell r="B10455">
            <v>44016</v>
          </cell>
          <cell r="C10455" t="str">
            <v>$ 3.645,90</v>
          </cell>
        </row>
        <row r="10456">
          <cell r="B10456">
            <v>44017</v>
          </cell>
          <cell r="C10456" t="str">
            <v>$ 3.645,90</v>
          </cell>
        </row>
        <row r="10457">
          <cell r="B10457">
            <v>44018</v>
          </cell>
          <cell r="C10457" t="str">
            <v>$ 3.645,90</v>
          </cell>
        </row>
        <row r="10458">
          <cell r="B10458">
            <v>44019</v>
          </cell>
          <cell r="C10458" t="str">
            <v>$ 3.633,32</v>
          </cell>
        </row>
        <row r="10459">
          <cell r="B10459">
            <v>44020</v>
          </cell>
          <cell r="C10459" t="str">
            <v>$ 3.631,54</v>
          </cell>
        </row>
        <row r="10460">
          <cell r="B10460">
            <v>44021</v>
          </cell>
          <cell r="C10460" t="str">
            <v>$ 3.625,61</v>
          </cell>
        </row>
        <row r="10461">
          <cell r="B10461">
            <v>44022</v>
          </cell>
          <cell r="C10461" t="str">
            <v>$ 3.633,42</v>
          </cell>
        </row>
        <row r="10462">
          <cell r="B10462">
            <v>44023</v>
          </cell>
          <cell r="C10462" t="str">
            <v>$ 3.615,75</v>
          </cell>
        </row>
        <row r="10463">
          <cell r="B10463">
            <v>44024</v>
          </cell>
          <cell r="C10463" t="str">
            <v>$ 3.615,75</v>
          </cell>
        </row>
        <row r="10464">
          <cell r="B10464">
            <v>44025</v>
          </cell>
          <cell r="C10464" t="str">
            <v>$ 3.615,75</v>
          </cell>
        </row>
        <row r="10465">
          <cell r="B10465">
            <v>44026</v>
          </cell>
          <cell r="C10465" t="str">
            <v>$ 3.617,22</v>
          </cell>
        </row>
        <row r="10466">
          <cell r="B10466">
            <v>44027</v>
          </cell>
          <cell r="C10466" t="str">
            <v>$ 3.638,22</v>
          </cell>
        </row>
        <row r="10467">
          <cell r="B10467">
            <v>44028</v>
          </cell>
          <cell r="C10467" t="str">
            <v>$ 3.611,61</v>
          </cell>
        </row>
        <row r="10468">
          <cell r="B10468">
            <v>44029</v>
          </cell>
          <cell r="C10468" t="str">
            <v>$ 3.627,86</v>
          </cell>
        </row>
        <row r="10469">
          <cell r="B10469">
            <v>44030</v>
          </cell>
          <cell r="C10469" t="str">
            <v>$ 3.651,93</v>
          </cell>
        </row>
        <row r="10470">
          <cell r="B10470">
            <v>44031</v>
          </cell>
          <cell r="C10470">
            <v>3651.93</v>
          </cell>
        </row>
        <row r="10471">
          <cell r="B10471">
            <v>44032</v>
          </cell>
          <cell r="C10471">
            <v>3651.93</v>
          </cell>
        </row>
        <row r="10472">
          <cell r="B10472">
            <v>44033</v>
          </cell>
          <cell r="C10472">
            <v>3651.93</v>
          </cell>
        </row>
        <row r="10473">
          <cell r="B10473">
            <v>44034</v>
          </cell>
          <cell r="C10473">
            <v>3628.2</v>
          </cell>
        </row>
        <row r="10474">
          <cell r="B10474">
            <v>44035</v>
          </cell>
          <cell r="C10474">
            <v>3627.28</v>
          </cell>
        </row>
        <row r="10475">
          <cell r="B10475">
            <v>44036</v>
          </cell>
          <cell r="C10475">
            <v>3660.15</v>
          </cell>
        </row>
        <row r="10476">
          <cell r="B10476">
            <v>44037</v>
          </cell>
          <cell r="C10476">
            <v>3690.8</v>
          </cell>
        </row>
        <row r="10477">
          <cell r="B10477">
            <v>44038</v>
          </cell>
          <cell r="C10477">
            <v>3690.8</v>
          </cell>
        </row>
        <row r="10478">
          <cell r="B10478">
            <v>44039</v>
          </cell>
          <cell r="C10478">
            <v>3690.8</v>
          </cell>
        </row>
        <row r="10479">
          <cell r="B10479">
            <v>44040</v>
          </cell>
          <cell r="C10479">
            <v>3679.17</v>
          </cell>
        </row>
        <row r="10480">
          <cell r="B10480">
            <v>44041</v>
          </cell>
          <cell r="C10480">
            <v>3718.69</v>
          </cell>
        </row>
        <row r="10481">
          <cell r="B10481">
            <v>44042</v>
          </cell>
          <cell r="C10481">
            <v>3716.89</v>
          </cell>
        </row>
        <row r="10482">
          <cell r="B10482">
            <v>44043</v>
          </cell>
          <cell r="C10482">
            <v>3739.49</v>
          </cell>
        </row>
        <row r="10483">
          <cell r="B10483">
            <v>44044</v>
          </cell>
          <cell r="C10483">
            <v>3733.08</v>
          </cell>
        </row>
        <row r="10484">
          <cell r="B10484">
            <v>44045</v>
          </cell>
          <cell r="C10484">
            <v>3733.08</v>
          </cell>
        </row>
        <row r="10485">
          <cell r="B10485">
            <v>44046</v>
          </cell>
          <cell r="C10485">
            <v>3733.08</v>
          </cell>
        </row>
        <row r="10486">
          <cell r="B10486">
            <v>44047</v>
          </cell>
          <cell r="C10486">
            <v>3768.39</v>
          </cell>
        </row>
        <row r="10487">
          <cell r="B10487">
            <v>44048</v>
          </cell>
          <cell r="C10487">
            <v>3792.98</v>
          </cell>
        </row>
        <row r="10488">
          <cell r="B10488">
            <v>44049</v>
          </cell>
          <cell r="C10488">
            <v>3775.95</v>
          </cell>
        </row>
        <row r="10489">
          <cell r="B10489">
            <v>44050</v>
          </cell>
          <cell r="C10489">
            <v>3769.67</v>
          </cell>
        </row>
        <row r="10490">
          <cell r="B10490">
            <v>44051</v>
          </cell>
          <cell r="C10490">
            <v>3769.67</v>
          </cell>
        </row>
        <row r="10491">
          <cell r="B10491">
            <v>44052</v>
          </cell>
          <cell r="C10491">
            <v>3769.67</v>
          </cell>
        </row>
        <row r="10492">
          <cell r="B10492">
            <v>44053</v>
          </cell>
          <cell r="C10492">
            <v>3769.67</v>
          </cell>
        </row>
        <row r="10493">
          <cell r="B10493">
            <v>44054</v>
          </cell>
          <cell r="C10493">
            <v>3770.22</v>
          </cell>
        </row>
        <row r="10494">
          <cell r="B10494">
            <v>44055</v>
          </cell>
          <cell r="C10494">
            <v>3749.3</v>
          </cell>
        </row>
        <row r="10495">
          <cell r="B10495">
            <v>44056</v>
          </cell>
          <cell r="C10495">
            <v>3755.61</v>
          </cell>
        </row>
        <row r="10496">
          <cell r="B10496">
            <v>44057</v>
          </cell>
          <cell r="C10496">
            <v>3767.05</v>
          </cell>
        </row>
        <row r="10497">
          <cell r="B10497">
            <v>44058</v>
          </cell>
          <cell r="C10497">
            <v>3783.15</v>
          </cell>
        </row>
        <row r="10498">
          <cell r="B10498">
            <v>44059</v>
          </cell>
          <cell r="C10498">
            <v>3783.15</v>
          </cell>
        </row>
        <row r="10499">
          <cell r="B10499">
            <v>44060</v>
          </cell>
          <cell r="C10499">
            <v>3783.15</v>
          </cell>
        </row>
        <row r="10500">
          <cell r="B10500">
            <v>44061</v>
          </cell>
          <cell r="C10500">
            <v>3783.15</v>
          </cell>
        </row>
        <row r="10501">
          <cell r="B10501">
            <v>44062</v>
          </cell>
          <cell r="C10501">
            <v>3784.15</v>
          </cell>
        </row>
        <row r="10502">
          <cell r="B10502">
            <v>44063</v>
          </cell>
          <cell r="C10502">
            <v>3766.73</v>
          </cell>
        </row>
        <row r="10503">
          <cell r="B10503">
            <v>44064</v>
          </cell>
          <cell r="C10503">
            <v>3792.13</v>
          </cell>
        </row>
        <row r="10504">
          <cell r="B10504">
            <v>44065</v>
          </cell>
          <cell r="C10504">
            <v>3827.27</v>
          </cell>
        </row>
        <row r="10505">
          <cell r="B10505">
            <v>44066</v>
          </cell>
          <cell r="C10505">
            <v>3827.27</v>
          </cell>
        </row>
        <row r="10506">
          <cell r="B10506">
            <v>44067</v>
          </cell>
          <cell r="C10506">
            <v>3827.27</v>
          </cell>
        </row>
        <row r="10507">
          <cell r="B10507">
            <v>44068</v>
          </cell>
          <cell r="C10507">
            <v>3843.69</v>
          </cell>
        </row>
        <row r="10508">
          <cell r="B10508">
            <v>44069</v>
          </cell>
          <cell r="C10508">
            <v>3867.32</v>
          </cell>
        </row>
        <row r="10509">
          <cell r="B10509">
            <v>44070</v>
          </cell>
          <cell r="C10509">
            <v>3846.64</v>
          </cell>
        </row>
        <row r="10510">
          <cell r="B10510">
            <v>44071</v>
          </cell>
          <cell r="C10510">
            <v>3820.17</v>
          </cell>
        </row>
        <row r="10511">
          <cell r="B10511">
            <v>44072</v>
          </cell>
          <cell r="C10511">
            <v>3760.38</v>
          </cell>
        </row>
        <row r="10512">
          <cell r="B10512">
            <v>44073</v>
          </cell>
          <cell r="C10512">
            <v>3760.38</v>
          </cell>
        </row>
        <row r="10513">
          <cell r="B10513">
            <v>44074</v>
          </cell>
          <cell r="C10513">
            <v>3760.38</v>
          </cell>
        </row>
        <row r="10514">
          <cell r="B10514">
            <v>44075</v>
          </cell>
          <cell r="C10514">
            <v>3745.41</v>
          </cell>
        </row>
        <row r="10515">
          <cell r="B10515">
            <v>44076</v>
          </cell>
          <cell r="C10515">
            <v>3683.28</v>
          </cell>
        </row>
        <row r="10516">
          <cell r="B10516">
            <v>44077</v>
          </cell>
          <cell r="C10516">
            <v>3653.7</v>
          </cell>
        </row>
        <row r="10517">
          <cell r="B10517">
            <v>44078</v>
          </cell>
          <cell r="C10517">
            <v>3653.23</v>
          </cell>
        </row>
        <row r="10518">
          <cell r="B10518">
            <v>44079</v>
          </cell>
          <cell r="C10518">
            <v>3702.62</v>
          </cell>
        </row>
        <row r="10519">
          <cell r="B10519">
            <v>44080</v>
          </cell>
          <cell r="C10519">
            <v>3702.62</v>
          </cell>
        </row>
        <row r="10520">
          <cell r="B10520">
            <v>44081</v>
          </cell>
          <cell r="C10520">
            <v>3702.62</v>
          </cell>
        </row>
        <row r="10521">
          <cell r="B10521">
            <v>44082</v>
          </cell>
          <cell r="C10521">
            <v>3702.62</v>
          </cell>
        </row>
        <row r="10522">
          <cell r="B10522">
            <v>44083</v>
          </cell>
          <cell r="C10522">
            <v>3757.21</v>
          </cell>
        </row>
        <row r="10523">
          <cell r="B10523">
            <v>44084</v>
          </cell>
          <cell r="C10523" t="str">
            <v>$ 3.717,25</v>
          </cell>
        </row>
        <row r="10524">
          <cell r="B10524">
            <v>44085</v>
          </cell>
          <cell r="C10524" t="str">
            <v>$ 3.700,28</v>
          </cell>
        </row>
        <row r="10525">
          <cell r="B10525">
            <v>44086</v>
          </cell>
          <cell r="C10525" t="str">
            <v>$ 3.709,00</v>
          </cell>
        </row>
        <row r="10526">
          <cell r="B10526">
            <v>44087</v>
          </cell>
          <cell r="C10526" t="str">
            <v>$ 3.709,00</v>
          </cell>
        </row>
        <row r="10527">
          <cell r="B10527">
            <v>44088</v>
          </cell>
          <cell r="C10527" t="str">
            <v>$ 3.709,00</v>
          </cell>
        </row>
        <row r="10528">
          <cell r="B10528">
            <v>44089</v>
          </cell>
          <cell r="C10528" t="str">
            <v>$ 3.697,00</v>
          </cell>
        </row>
        <row r="10529">
          <cell r="B10529">
            <v>44090</v>
          </cell>
          <cell r="C10529" t="str">
            <v>$ 3.683,49</v>
          </cell>
        </row>
        <row r="10530">
          <cell r="B10530">
            <v>44091</v>
          </cell>
          <cell r="C10530" t="str">
            <v>$ 3.703,86</v>
          </cell>
        </row>
        <row r="10531">
          <cell r="B10531">
            <v>44092</v>
          </cell>
          <cell r="C10531" t="str">
            <v>$ 3.714,65</v>
          </cell>
        </row>
        <row r="10532">
          <cell r="B10532">
            <v>44093</v>
          </cell>
          <cell r="C10532" t="str">
            <v>$ 3.725,37</v>
          </cell>
        </row>
        <row r="10533">
          <cell r="B10533">
            <v>44094</v>
          </cell>
          <cell r="C10533" t="str">
            <v>$ 3.725,37</v>
          </cell>
        </row>
        <row r="10534">
          <cell r="B10534">
            <v>44095</v>
          </cell>
          <cell r="C10534" t="str">
            <v>$ 3.725,37</v>
          </cell>
        </row>
        <row r="10535">
          <cell r="B10535">
            <v>44096</v>
          </cell>
          <cell r="C10535" t="str">
            <v>$ 3.790,54</v>
          </cell>
        </row>
        <row r="10536">
          <cell r="B10536">
            <v>44097</v>
          </cell>
          <cell r="C10536" t="str">
            <v>$ 3.813,30</v>
          </cell>
        </row>
        <row r="10537">
          <cell r="B10537">
            <v>44098</v>
          </cell>
          <cell r="C10537" t="str">
            <v>$ 3.863,60</v>
          </cell>
        </row>
        <row r="10538">
          <cell r="B10538">
            <v>44099</v>
          </cell>
          <cell r="C10538" t="str">
            <v>$ 3.873,80</v>
          </cell>
        </row>
        <row r="10539">
          <cell r="B10539">
            <v>44100</v>
          </cell>
          <cell r="C10539" t="str">
            <v>$ 3.867,81</v>
          </cell>
        </row>
        <row r="10540">
          <cell r="B10540">
            <v>44101</v>
          </cell>
          <cell r="C10540" t="str">
            <v>$ 3.867,81</v>
          </cell>
        </row>
        <row r="10541">
          <cell r="B10541">
            <v>44102</v>
          </cell>
          <cell r="C10541" t="str">
            <v>$ 3.867,81</v>
          </cell>
        </row>
        <row r="10542">
          <cell r="B10542">
            <v>44103</v>
          </cell>
          <cell r="C10542" t="str">
            <v>$ 3.859,90</v>
          </cell>
        </row>
        <row r="10543">
          <cell r="B10543">
            <v>44104</v>
          </cell>
          <cell r="C10543" t="str">
            <v>$ 3.878,94</v>
          </cell>
        </row>
        <row r="10544">
          <cell r="B10544">
            <v>44105</v>
          </cell>
          <cell r="C10544" t="str">
            <v>$ 3.865,47</v>
          </cell>
        </row>
        <row r="10545">
          <cell r="B10545">
            <v>44106</v>
          </cell>
          <cell r="C10545" t="str">
            <v>$ 3.842,34</v>
          </cell>
        </row>
        <row r="10546">
          <cell r="B10546">
            <v>44107</v>
          </cell>
          <cell r="C10546" t="str">
            <v>$ 3.881,80</v>
          </cell>
        </row>
        <row r="10547">
          <cell r="B10547">
            <v>44108</v>
          </cell>
          <cell r="C10547" t="str">
            <v>$ 3.881,80</v>
          </cell>
        </row>
        <row r="10548">
          <cell r="B10548">
            <v>44109</v>
          </cell>
          <cell r="C10548" t="str">
            <v>$ 3.881,80</v>
          </cell>
        </row>
        <row r="10549">
          <cell r="B10549">
            <v>44110</v>
          </cell>
          <cell r="C10549" t="str">
            <v>$ 3.843,75</v>
          </cell>
        </row>
        <row r="10550">
          <cell r="B10550">
            <v>44111</v>
          </cell>
          <cell r="C10550" t="str">
            <v>$ 3.826,77</v>
          </cell>
        </row>
        <row r="10551">
          <cell r="B10551">
            <v>44112</v>
          </cell>
          <cell r="C10551" t="str">
            <v>$ 3.837,79</v>
          </cell>
        </row>
        <row r="10552">
          <cell r="B10552">
            <v>44113</v>
          </cell>
          <cell r="C10552" t="str">
            <v>$ 3.839,73</v>
          </cell>
        </row>
        <row r="10553">
          <cell r="B10553">
            <v>44114</v>
          </cell>
          <cell r="C10553" t="str">
            <v>$ 3.824,25</v>
          </cell>
        </row>
        <row r="10554">
          <cell r="B10554">
            <v>44115</v>
          </cell>
          <cell r="C10554" t="str">
            <v>$ 3.824,25</v>
          </cell>
        </row>
        <row r="10555">
          <cell r="B10555">
            <v>44116</v>
          </cell>
          <cell r="C10555" t="str">
            <v>$ 3.824,25</v>
          </cell>
        </row>
        <row r="10556">
          <cell r="B10556">
            <v>44117</v>
          </cell>
          <cell r="C10556" t="str">
            <v>$ 3.824,25</v>
          </cell>
        </row>
        <row r="10557">
          <cell r="B10557">
            <v>44118</v>
          </cell>
          <cell r="C10557" t="str">
            <v>$ 3.856,32</v>
          </cell>
        </row>
        <row r="10558">
          <cell r="B10558">
            <v>44119</v>
          </cell>
          <cell r="C10558" t="str">
            <v>$ 3.843,59</v>
          </cell>
        </row>
        <row r="10559">
          <cell r="B10559">
            <v>44120</v>
          </cell>
          <cell r="C10559" t="str">
            <v>$ 3.854,47</v>
          </cell>
        </row>
        <row r="10560">
          <cell r="B10560">
            <v>44121</v>
          </cell>
          <cell r="C10560" t="str">
            <v>$ 3.846,48</v>
          </cell>
        </row>
        <row r="10561">
          <cell r="B10561">
            <v>44122</v>
          </cell>
          <cell r="C10561" t="str">
            <v>$ 3.846,48</v>
          </cell>
        </row>
        <row r="10562">
          <cell r="B10562">
            <v>44123</v>
          </cell>
          <cell r="C10562" t="str">
            <v>$ 3.846,48</v>
          </cell>
        </row>
        <row r="10563">
          <cell r="B10563">
            <v>44124</v>
          </cell>
          <cell r="C10563" t="str">
            <v>$ 3.842,76</v>
          </cell>
        </row>
        <row r="10564">
          <cell r="B10564">
            <v>44125</v>
          </cell>
          <cell r="C10564" t="str">
            <v>$ 3.830,79</v>
          </cell>
        </row>
        <row r="10565">
          <cell r="B10565">
            <v>44126</v>
          </cell>
          <cell r="C10565" t="str">
            <v>$ 3.784,51</v>
          </cell>
        </row>
        <row r="10566">
          <cell r="B10566">
            <v>44127</v>
          </cell>
          <cell r="C10566" t="str">
            <v>$ 3.776,73</v>
          </cell>
        </row>
        <row r="10567">
          <cell r="B10567">
            <v>44128</v>
          </cell>
          <cell r="C10567" t="str">
            <v>$ 3.782,66</v>
          </cell>
        </row>
        <row r="10568">
          <cell r="B10568">
            <v>44129</v>
          </cell>
          <cell r="C10568" t="str">
            <v>$ 3.782,66</v>
          </cell>
        </row>
        <row r="10569">
          <cell r="B10569">
            <v>44130</v>
          </cell>
          <cell r="C10569" t="str">
            <v>$ 3.782,66</v>
          </cell>
        </row>
        <row r="10570">
          <cell r="B10570">
            <v>44131</v>
          </cell>
          <cell r="C10570" t="str">
            <v>$ 3.812,82</v>
          </cell>
        </row>
        <row r="10571">
          <cell r="B10571">
            <v>44132</v>
          </cell>
          <cell r="C10571" t="str">
            <v>$ 3.810,23</v>
          </cell>
        </row>
        <row r="10572">
          <cell r="B10572">
            <v>44133</v>
          </cell>
          <cell r="C10572" t="str">
            <v>$ 3.841,46</v>
          </cell>
        </row>
        <row r="10573">
          <cell r="B10573">
            <v>44134</v>
          </cell>
          <cell r="C10573" t="str">
            <v>$ 3.849,53</v>
          </cell>
        </row>
        <row r="10574">
          <cell r="B10574">
            <v>44135</v>
          </cell>
          <cell r="C10574" t="str">
            <v>$ 3.858,56</v>
          </cell>
        </row>
        <row r="10575">
          <cell r="B10575">
            <v>44136</v>
          </cell>
          <cell r="C10575" t="str">
            <v>$ 3.858,56</v>
          </cell>
        </row>
        <row r="10576">
          <cell r="B10576">
            <v>44137</v>
          </cell>
          <cell r="C10576" t="str">
            <v>$ 3.858,56</v>
          </cell>
        </row>
        <row r="10577">
          <cell r="B10577">
            <v>44138</v>
          </cell>
          <cell r="C10577" t="str">
            <v>$ 3.858,56</v>
          </cell>
        </row>
        <row r="10578">
          <cell r="B10578">
            <v>44139</v>
          </cell>
          <cell r="C10578" t="str">
            <v>$ 3.823,45</v>
          </cell>
        </row>
        <row r="10579">
          <cell r="B10579">
            <v>44140</v>
          </cell>
          <cell r="C10579" t="str">
            <v>$ 3.807,13</v>
          </cell>
        </row>
        <row r="10580">
          <cell r="B10580">
            <v>44141</v>
          </cell>
          <cell r="C10580" t="str">
            <v>$ 3.763,82</v>
          </cell>
        </row>
        <row r="10581">
          <cell r="B10581">
            <v>44142</v>
          </cell>
          <cell r="C10581" t="str">
            <v>$ 3.738,19</v>
          </cell>
        </row>
        <row r="10582">
          <cell r="B10582">
            <v>44143</v>
          </cell>
          <cell r="C10582" t="str">
            <v>$ 3.738,19</v>
          </cell>
        </row>
        <row r="10583">
          <cell r="B10583">
            <v>44144</v>
          </cell>
          <cell r="C10583" t="str">
            <v>$ 3.738,19</v>
          </cell>
        </row>
        <row r="10584">
          <cell r="B10584">
            <v>44145</v>
          </cell>
          <cell r="C10584" t="str">
            <v>$ 3.646,15</v>
          </cell>
        </row>
        <row r="10585">
          <cell r="B10585">
            <v>44146</v>
          </cell>
          <cell r="C10585" t="str">
            <v>$ 3.650,50</v>
          </cell>
        </row>
        <row r="10586">
          <cell r="B10586">
            <v>44147</v>
          </cell>
          <cell r="C10586" t="str">
            <v>$ 3.650,50</v>
          </cell>
        </row>
        <row r="10587">
          <cell r="B10587">
            <v>44148</v>
          </cell>
          <cell r="C10587" t="str">
            <v>$ 3.646,22</v>
          </cell>
        </row>
        <row r="10588">
          <cell r="B10588">
            <v>44149</v>
          </cell>
          <cell r="C10588" t="str">
            <v>$ 3.639,95</v>
          </cell>
        </row>
        <row r="10589">
          <cell r="B10589">
            <v>44150</v>
          </cell>
          <cell r="C10589" t="str">
            <v>$ 3.639,95</v>
          </cell>
        </row>
        <row r="10590">
          <cell r="B10590">
            <v>44151</v>
          </cell>
          <cell r="C10590" t="str">
            <v>$ 3.639,95</v>
          </cell>
        </row>
        <row r="10591">
          <cell r="B10591">
            <v>44152</v>
          </cell>
          <cell r="C10591" t="str">
            <v>$ 3.639,95</v>
          </cell>
        </row>
        <row r="10592">
          <cell r="B10592">
            <v>44153</v>
          </cell>
          <cell r="C10592" t="str">
            <v>$ 3.635,19</v>
          </cell>
        </row>
        <row r="10593">
          <cell r="B10593">
            <v>44154</v>
          </cell>
          <cell r="C10593" t="str">
            <v>$ 3.647,73</v>
          </cell>
        </row>
        <row r="10594">
          <cell r="B10594">
            <v>44155</v>
          </cell>
          <cell r="C10594" t="str">
            <v>$ 3.647,10</v>
          </cell>
        </row>
        <row r="10595">
          <cell r="B10595">
            <v>44156</v>
          </cell>
          <cell r="C10595" t="str">
            <v>$ 3.649,90</v>
          </cell>
        </row>
        <row r="10596">
          <cell r="B10596">
            <v>44157</v>
          </cell>
          <cell r="C10596" t="str">
            <v>$ 3.649,90</v>
          </cell>
        </row>
        <row r="10597">
          <cell r="B10597">
            <v>44158</v>
          </cell>
          <cell r="C10597" t="str">
            <v>$ 3.649,90</v>
          </cell>
        </row>
        <row r="10598">
          <cell r="B10598">
            <v>44159</v>
          </cell>
          <cell r="C10598" t="str">
            <v>$ 3.632,92</v>
          </cell>
        </row>
        <row r="10599">
          <cell r="B10599">
            <v>44160</v>
          </cell>
          <cell r="C10599" t="str">
            <v>$ 3.643,24</v>
          </cell>
        </row>
        <row r="10600">
          <cell r="B10600">
            <v>44161</v>
          </cell>
          <cell r="C10600" t="str">
            <v>$ 3.620,39</v>
          </cell>
        </row>
        <row r="10601">
          <cell r="B10601">
            <v>44162</v>
          </cell>
          <cell r="C10601" t="str">
            <v>$ 3.620,39</v>
          </cell>
        </row>
        <row r="10602">
          <cell r="B10602">
            <v>44163</v>
          </cell>
          <cell r="C10602" t="str">
            <v>$ 3.611,44</v>
          </cell>
        </row>
        <row r="10603">
          <cell r="B10603">
            <v>44164</v>
          </cell>
          <cell r="C10603" t="str">
            <v>$ 3.611,44</v>
          </cell>
        </row>
        <row r="10604">
          <cell r="B10604">
            <v>44165</v>
          </cell>
          <cell r="C10604" t="str">
            <v>$ 3.611,44</v>
          </cell>
        </row>
        <row r="10605">
          <cell r="B10605">
            <v>44166</v>
          </cell>
          <cell r="C10605" t="str">
            <v>$ 3.591,84</v>
          </cell>
        </row>
        <row r="10606">
          <cell r="B10606">
            <v>44167</v>
          </cell>
          <cell r="C10606" t="str">
            <v>$ 3.558,57</v>
          </cell>
        </row>
        <row r="10607">
          <cell r="B10607">
            <v>44168</v>
          </cell>
          <cell r="C10607" t="str">
            <v>$ 3.533,21</v>
          </cell>
        </row>
        <row r="10608">
          <cell r="B10608">
            <v>44169</v>
          </cell>
          <cell r="C10608" t="str">
            <v>$ 3.481,44</v>
          </cell>
        </row>
        <row r="10609">
          <cell r="B10609">
            <v>44170</v>
          </cell>
          <cell r="C10609" t="str">
            <v>$ 3.467,49</v>
          </cell>
        </row>
        <row r="10610">
          <cell r="B10610">
            <v>44171</v>
          </cell>
          <cell r="C10610" t="str">
            <v>$ 3.467,49</v>
          </cell>
        </row>
        <row r="10611">
          <cell r="B10611">
            <v>44172</v>
          </cell>
          <cell r="C10611" t="str">
            <v>$ 3.467,49</v>
          </cell>
        </row>
        <row r="10612">
          <cell r="B10612">
            <v>44173</v>
          </cell>
          <cell r="C10612" t="str">
            <v>$ 3.487,65</v>
          </cell>
        </row>
        <row r="10613">
          <cell r="B10613">
            <v>44174</v>
          </cell>
          <cell r="C10613" t="str">
            <v>$ 3.487,65</v>
          </cell>
        </row>
        <row r="10614">
          <cell r="B10614">
            <v>44175</v>
          </cell>
          <cell r="C10614" t="str">
            <v>$ 3.465,76</v>
          </cell>
        </row>
        <row r="10615">
          <cell r="B10615">
            <v>44176</v>
          </cell>
          <cell r="C10615" t="str">
            <v>$ 3.448,89</v>
          </cell>
        </row>
        <row r="10616">
          <cell r="B10616">
            <v>44177</v>
          </cell>
          <cell r="C10616" t="str">
            <v>$ 3.433,45</v>
          </cell>
        </row>
        <row r="10617">
          <cell r="B10617">
            <v>44178</v>
          </cell>
          <cell r="C10617" t="str">
            <v>$ 3.433,45</v>
          </cell>
        </row>
        <row r="10618">
          <cell r="B10618">
            <v>44179</v>
          </cell>
          <cell r="C10618" t="str">
            <v>$ 3.433,45</v>
          </cell>
        </row>
        <row r="10619">
          <cell r="B10619">
            <v>44180</v>
          </cell>
          <cell r="C10619" t="str">
            <v>$ 3.426,97</v>
          </cell>
        </row>
        <row r="10620">
          <cell r="B10620">
            <v>44181</v>
          </cell>
          <cell r="C10620" t="str">
            <v>$ 3.422,44</v>
          </cell>
        </row>
        <row r="10621">
          <cell r="B10621">
            <v>44182</v>
          </cell>
          <cell r="C10621" t="str">
            <v>$ 3.416,21</v>
          </cell>
        </row>
        <row r="10622">
          <cell r="B10622">
            <v>44183</v>
          </cell>
          <cell r="C10622" t="str">
            <v>$ 3.410,82</v>
          </cell>
        </row>
        <row r="10623">
          <cell r="B10623">
            <v>44184</v>
          </cell>
          <cell r="C10623" t="str">
            <v>$ 3.420,26</v>
          </cell>
        </row>
        <row r="10624">
          <cell r="B10624">
            <v>44185</v>
          </cell>
          <cell r="C10624" t="str">
            <v>$ 3.420,26</v>
          </cell>
        </row>
        <row r="10625">
          <cell r="B10625">
            <v>44186</v>
          </cell>
          <cell r="C10625" t="str">
            <v>$ 3.420,26</v>
          </cell>
        </row>
        <row r="10626">
          <cell r="B10626">
            <v>44187</v>
          </cell>
          <cell r="C10626" t="str">
            <v>$ 3.442,41</v>
          </cell>
        </row>
        <row r="10627">
          <cell r="B10627">
            <v>44188</v>
          </cell>
          <cell r="C10627" t="str">
            <v>$ 3.444,90</v>
          </cell>
        </row>
        <row r="10628">
          <cell r="B10628">
            <v>44189</v>
          </cell>
          <cell r="C10628" t="str">
            <v>$ 3.482,51</v>
          </cell>
        </row>
        <row r="10629">
          <cell r="B10629">
            <v>44190</v>
          </cell>
          <cell r="C10629" t="str">
            <v>$ 3.493,77</v>
          </cell>
        </row>
        <row r="10630">
          <cell r="B10630">
            <v>44191</v>
          </cell>
          <cell r="C10630" t="str">
            <v>$ 3.493,77</v>
          </cell>
        </row>
        <row r="10631">
          <cell r="B10631">
            <v>44192</v>
          </cell>
          <cell r="C10631" t="str">
            <v>$ 3.493,77</v>
          </cell>
        </row>
        <row r="10632">
          <cell r="B10632">
            <v>44193</v>
          </cell>
          <cell r="C10632" t="str">
            <v>$ 3.493,77</v>
          </cell>
        </row>
        <row r="10633">
          <cell r="B10633">
            <v>44194</v>
          </cell>
          <cell r="C10633" t="str">
            <v>$ 3.495,39</v>
          </cell>
        </row>
        <row r="10634">
          <cell r="B10634">
            <v>44195</v>
          </cell>
          <cell r="C10634" t="str">
            <v>$ 3.482,10</v>
          </cell>
        </row>
        <row r="10635">
          <cell r="B10635">
            <v>44196</v>
          </cell>
          <cell r="C10635" t="str">
            <v>$ 3.432,50</v>
          </cell>
        </row>
        <row r="10636">
          <cell r="B10636">
            <v>44197</v>
          </cell>
          <cell r="C10636">
            <v>3432.5</v>
          </cell>
        </row>
        <row r="10637">
          <cell r="B10637">
            <v>44198</v>
          </cell>
          <cell r="C10637">
            <v>3432.5</v>
          </cell>
        </row>
        <row r="10638">
          <cell r="B10638">
            <v>44199</v>
          </cell>
          <cell r="C10638">
            <v>3432.5</v>
          </cell>
        </row>
        <row r="10639">
          <cell r="B10639">
            <v>44200</v>
          </cell>
          <cell r="C10639">
            <v>3432.5</v>
          </cell>
        </row>
        <row r="10640">
          <cell r="B10640">
            <v>44201</v>
          </cell>
          <cell r="C10640">
            <v>3420.78</v>
          </cell>
        </row>
        <row r="10641">
          <cell r="B10641">
            <v>44202</v>
          </cell>
          <cell r="C10641">
            <v>3450.74</v>
          </cell>
        </row>
        <row r="10642">
          <cell r="B10642">
            <v>44203</v>
          </cell>
          <cell r="C10642">
            <v>3428.04</v>
          </cell>
        </row>
        <row r="10643">
          <cell r="B10643">
            <v>44204</v>
          </cell>
          <cell r="C10643">
            <v>3459.39</v>
          </cell>
        </row>
        <row r="10644">
          <cell r="B10644">
            <v>44205</v>
          </cell>
          <cell r="C10644">
            <v>3478.11</v>
          </cell>
        </row>
        <row r="10645">
          <cell r="B10645">
            <v>44206</v>
          </cell>
          <cell r="C10645">
            <v>3478.11</v>
          </cell>
        </row>
        <row r="10646">
          <cell r="B10646">
            <v>44207</v>
          </cell>
          <cell r="C10646">
            <v>3478.11</v>
          </cell>
        </row>
        <row r="10647">
          <cell r="B10647">
            <v>44208</v>
          </cell>
          <cell r="C10647">
            <v>3478.11</v>
          </cell>
        </row>
        <row r="10648">
          <cell r="B10648">
            <v>44209</v>
          </cell>
          <cell r="C10648">
            <v>3487.65</v>
          </cell>
        </row>
        <row r="10649">
          <cell r="B10649">
            <v>44210</v>
          </cell>
          <cell r="C10649">
            <v>3478.36</v>
          </cell>
        </row>
        <row r="10650">
          <cell r="B10650">
            <v>44211</v>
          </cell>
          <cell r="C10650">
            <v>3469.76</v>
          </cell>
        </row>
        <row r="10651">
          <cell r="B10651">
            <v>44212</v>
          </cell>
          <cell r="C10651">
            <v>3466.8</v>
          </cell>
        </row>
        <row r="10652">
          <cell r="B10652">
            <v>44213</v>
          </cell>
          <cell r="C10652">
            <v>3466.8</v>
          </cell>
        </row>
        <row r="10653">
          <cell r="B10653">
            <v>44214</v>
          </cell>
          <cell r="C10653">
            <v>3466.8</v>
          </cell>
        </row>
        <row r="10654">
          <cell r="B10654">
            <v>44215</v>
          </cell>
          <cell r="C10654">
            <v>3466.8</v>
          </cell>
        </row>
        <row r="10655">
          <cell r="B10655">
            <v>44216</v>
          </cell>
          <cell r="C10655">
            <v>3482.03</v>
          </cell>
        </row>
        <row r="10656">
          <cell r="B10656">
            <v>44217</v>
          </cell>
          <cell r="C10656">
            <v>3476.19</v>
          </cell>
        </row>
        <row r="10657">
          <cell r="B10657">
            <v>44218</v>
          </cell>
          <cell r="C10657">
            <v>3477.48</v>
          </cell>
        </row>
        <row r="10658">
          <cell r="B10658">
            <v>44219</v>
          </cell>
          <cell r="C10658">
            <v>3525.25</v>
          </cell>
        </row>
        <row r="10659">
          <cell r="B10659">
            <v>44220</v>
          </cell>
          <cell r="C10659">
            <v>3525.25</v>
          </cell>
        </row>
        <row r="10660">
          <cell r="B10660">
            <v>44221</v>
          </cell>
          <cell r="C10660">
            <v>3525.25</v>
          </cell>
        </row>
        <row r="10661">
          <cell r="B10661">
            <v>44222</v>
          </cell>
          <cell r="C10661">
            <v>3582.41</v>
          </cell>
        </row>
        <row r="10662">
          <cell r="B10662">
            <v>44223</v>
          </cell>
          <cell r="C10662">
            <v>3591.48</v>
          </cell>
        </row>
        <row r="10663">
          <cell r="B10663">
            <v>44224</v>
          </cell>
          <cell r="C10663">
            <v>3636.91</v>
          </cell>
        </row>
        <row r="10664">
          <cell r="B10664">
            <v>44225</v>
          </cell>
          <cell r="C10664">
            <v>3585.44</v>
          </cell>
        </row>
        <row r="10665">
          <cell r="B10665">
            <v>44226</v>
          </cell>
          <cell r="C10665">
            <v>3559.46</v>
          </cell>
        </row>
        <row r="10666">
          <cell r="B10666">
            <v>44227</v>
          </cell>
          <cell r="C10666">
            <v>3559.46</v>
          </cell>
        </row>
        <row r="10667">
          <cell r="B10667">
            <v>44228</v>
          </cell>
          <cell r="C10667">
            <v>3559.46</v>
          </cell>
        </row>
        <row r="10668">
          <cell r="B10668">
            <v>44229</v>
          </cell>
          <cell r="C10668">
            <v>3561.37</v>
          </cell>
        </row>
        <row r="10669">
          <cell r="B10669">
            <v>44230</v>
          </cell>
          <cell r="C10669">
            <v>3534.99</v>
          </cell>
        </row>
        <row r="10670">
          <cell r="B10670">
            <v>44231</v>
          </cell>
          <cell r="C10670">
            <v>3522.57</v>
          </cell>
        </row>
        <row r="10671">
          <cell r="B10671">
            <v>44232</v>
          </cell>
          <cell r="C10671">
            <v>3558.63</v>
          </cell>
        </row>
        <row r="10672">
          <cell r="B10672">
            <v>44233</v>
          </cell>
          <cell r="C10672">
            <v>3543.28</v>
          </cell>
        </row>
        <row r="10673">
          <cell r="B10673">
            <v>44234</v>
          </cell>
          <cell r="C10673">
            <v>3543.28</v>
          </cell>
        </row>
        <row r="10674">
          <cell r="B10674">
            <v>44235</v>
          </cell>
          <cell r="C10674">
            <v>3543.28</v>
          </cell>
        </row>
        <row r="10675">
          <cell r="B10675">
            <v>44236</v>
          </cell>
          <cell r="C10675">
            <v>3554.65</v>
          </cell>
        </row>
        <row r="10676">
          <cell r="B10676">
            <v>44237</v>
          </cell>
          <cell r="C10676">
            <v>3583.23</v>
          </cell>
        </row>
        <row r="10677">
          <cell r="B10677">
            <v>44238</v>
          </cell>
          <cell r="C10677">
            <v>3557.16</v>
          </cell>
        </row>
        <row r="10678">
          <cell r="B10678">
            <v>44239</v>
          </cell>
          <cell r="C10678">
            <v>3525.45</v>
          </cell>
        </row>
        <row r="10679">
          <cell r="B10679">
            <v>44240</v>
          </cell>
          <cell r="C10679">
            <v>3515.65</v>
          </cell>
        </row>
        <row r="10680">
          <cell r="B10680">
            <v>44241</v>
          </cell>
          <cell r="C10680">
            <v>3515.65</v>
          </cell>
        </row>
        <row r="10681">
          <cell r="B10681">
            <v>44242</v>
          </cell>
          <cell r="C10681">
            <v>3515.65</v>
          </cell>
        </row>
        <row r="10682">
          <cell r="B10682">
            <v>44243</v>
          </cell>
          <cell r="C10682">
            <v>3515.65</v>
          </cell>
        </row>
        <row r="10683">
          <cell r="B10683">
            <v>44244</v>
          </cell>
          <cell r="C10683">
            <v>3518.19</v>
          </cell>
        </row>
        <row r="10684">
          <cell r="B10684">
            <v>44245</v>
          </cell>
          <cell r="C10684">
            <v>3545.84</v>
          </cell>
        </row>
        <row r="10685">
          <cell r="B10685">
            <v>44246</v>
          </cell>
          <cell r="C10685">
            <v>3537.86</v>
          </cell>
        </row>
        <row r="10686">
          <cell r="B10686">
            <v>44247</v>
          </cell>
          <cell r="C10686">
            <v>3555.4</v>
          </cell>
        </row>
        <row r="10687">
          <cell r="B10687">
            <v>44248</v>
          </cell>
          <cell r="C10687">
            <v>3555.4</v>
          </cell>
        </row>
        <row r="10688">
          <cell r="B10688">
            <v>44249</v>
          </cell>
          <cell r="C10688">
            <v>3555.4</v>
          </cell>
        </row>
        <row r="10689">
          <cell r="B10689">
            <v>44250</v>
          </cell>
          <cell r="C10689">
            <v>3602.41</v>
          </cell>
        </row>
        <row r="10690">
          <cell r="B10690">
            <v>44251</v>
          </cell>
          <cell r="C10690">
            <v>3590.37</v>
          </cell>
        </row>
        <row r="10691">
          <cell r="B10691">
            <v>44252</v>
          </cell>
          <cell r="C10691">
            <v>3578.29</v>
          </cell>
        </row>
        <row r="10692">
          <cell r="B10692">
            <v>44253</v>
          </cell>
          <cell r="C10692">
            <v>3588.23</v>
          </cell>
        </row>
        <row r="10693">
          <cell r="B10693">
            <v>44254</v>
          </cell>
          <cell r="C10693">
            <v>3624.39</v>
          </cell>
        </row>
        <row r="10694">
          <cell r="B10694">
            <v>44255</v>
          </cell>
          <cell r="C10694">
            <v>3624.39</v>
          </cell>
        </row>
        <row r="10695">
          <cell r="B10695">
            <v>44256</v>
          </cell>
          <cell r="C10695">
            <v>3624.39</v>
          </cell>
        </row>
        <row r="10696">
          <cell r="B10696">
            <v>44257</v>
          </cell>
          <cell r="C10696">
            <v>3622.36</v>
          </cell>
        </row>
        <row r="10697">
          <cell r="B10697">
            <v>44258</v>
          </cell>
          <cell r="C10697">
            <v>3646.61</v>
          </cell>
        </row>
        <row r="10698">
          <cell r="B10698">
            <v>44259</v>
          </cell>
          <cell r="C10698">
            <v>3676.94</v>
          </cell>
        </row>
        <row r="10699">
          <cell r="B10699">
            <v>44260</v>
          </cell>
          <cell r="C10699">
            <v>3647.99</v>
          </cell>
        </row>
        <row r="10700">
          <cell r="B10700">
            <v>44261</v>
          </cell>
          <cell r="C10700">
            <v>3640.2</v>
          </cell>
        </row>
        <row r="10701">
          <cell r="B10701">
            <v>44262</v>
          </cell>
          <cell r="C10701">
            <v>3640.2</v>
          </cell>
        </row>
        <row r="10702">
          <cell r="B10702">
            <v>44263</v>
          </cell>
          <cell r="C10702">
            <v>3640.2</v>
          </cell>
        </row>
        <row r="10703">
          <cell r="B10703">
            <v>44264</v>
          </cell>
          <cell r="C10703">
            <v>3623.61</v>
          </cell>
        </row>
        <row r="10704">
          <cell r="B10704">
            <v>44265</v>
          </cell>
          <cell r="C10704">
            <v>3598.77</v>
          </cell>
        </row>
        <row r="10705">
          <cell r="B10705">
            <v>44266</v>
          </cell>
          <cell r="C10705">
            <v>3561.91</v>
          </cell>
        </row>
        <row r="10706">
          <cell r="B10706">
            <v>44267</v>
          </cell>
          <cell r="C10706">
            <v>3534.62</v>
          </cell>
        </row>
        <row r="10707">
          <cell r="B10707">
            <v>44268</v>
          </cell>
          <cell r="C10707">
            <v>3575.3</v>
          </cell>
        </row>
        <row r="10708">
          <cell r="B10708">
            <v>44269</v>
          </cell>
          <cell r="C10708">
            <v>3575.3</v>
          </cell>
        </row>
        <row r="10709">
          <cell r="B10709">
            <v>44270</v>
          </cell>
          <cell r="C10709">
            <v>3575.3</v>
          </cell>
        </row>
        <row r="10710">
          <cell r="B10710">
            <v>44271</v>
          </cell>
          <cell r="C10710">
            <v>3575.63</v>
          </cell>
        </row>
        <row r="10711">
          <cell r="B10711">
            <v>44272</v>
          </cell>
          <cell r="C10711">
            <v>3553.51</v>
          </cell>
        </row>
        <row r="10712">
          <cell r="B10712">
            <v>44273</v>
          </cell>
          <cell r="C10712">
            <v>3578.02</v>
          </cell>
        </row>
        <row r="10713">
          <cell r="B10713">
            <v>44274</v>
          </cell>
          <cell r="C10713">
            <v>3569.45</v>
          </cell>
        </row>
        <row r="10714">
          <cell r="B10714">
            <v>44275</v>
          </cell>
          <cell r="C10714">
            <v>3553.34</v>
          </cell>
        </row>
        <row r="10715">
          <cell r="B10715">
            <v>44276</v>
          </cell>
          <cell r="C10715">
            <v>3553.34</v>
          </cell>
        </row>
        <row r="10716">
          <cell r="B10716">
            <v>44277</v>
          </cell>
          <cell r="C10716">
            <v>3553.34</v>
          </cell>
        </row>
        <row r="10717">
          <cell r="B10717">
            <v>44278</v>
          </cell>
          <cell r="C10717">
            <v>3553.34</v>
          </cell>
        </row>
        <row r="10718">
          <cell r="B10718">
            <v>44279</v>
          </cell>
          <cell r="C10718">
            <v>3589.82</v>
          </cell>
        </row>
        <row r="10719">
          <cell r="B10719">
            <v>44280</v>
          </cell>
          <cell r="C10719">
            <v>3635.12</v>
          </cell>
        </row>
        <row r="10720">
          <cell r="B10720">
            <v>44281</v>
          </cell>
          <cell r="C10720">
            <v>3658.22</v>
          </cell>
        </row>
        <row r="10721">
          <cell r="B10721">
            <v>44282</v>
          </cell>
          <cell r="C10721">
            <v>3665.41</v>
          </cell>
        </row>
        <row r="10722">
          <cell r="B10722">
            <v>44283</v>
          </cell>
          <cell r="C10722">
            <v>3665.41</v>
          </cell>
        </row>
        <row r="10723">
          <cell r="B10723">
            <v>44284</v>
          </cell>
          <cell r="C10723">
            <v>3665.41</v>
          </cell>
        </row>
        <row r="10724">
          <cell r="B10724">
            <v>44285</v>
          </cell>
          <cell r="C10724">
            <v>3705.85</v>
          </cell>
        </row>
        <row r="10725">
          <cell r="B10725">
            <v>44286</v>
          </cell>
          <cell r="C10725">
            <v>3736.91</v>
          </cell>
        </row>
        <row r="10726">
          <cell r="B10726">
            <v>44287</v>
          </cell>
          <cell r="C10726">
            <v>3678.62</v>
          </cell>
        </row>
        <row r="10727">
          <cell r="B10727">
            <v>44288</v>
          </cell>
          <cell r="C10727">
            <v>3678.62</v>
          </cell>
        </row>
        <row r="10728">
          <cell r="B10728">
            <v>44289</v>
          </cell>
          <cell r="C10728">
            <v>3678.62</v>
          </cell>
        </row>
        <row r="10729">
          <cell r="B10729">
            <v>44290</v>
          </cell>
          <cell r="C10729">
            <v>3678.62</v>
          </cell>
        </row>
        <row r="10730">
          <cell r="B10730">
            <v>44291</v>
          </cell>
          <cell r="C10730">
            <v>3678.62</v>
          </cell>
        </row>
        <row r="10731">
          <cell r="B10731">
            <v>44292</v>
          </cell>
          <cell r="C10731">
            <v>3645.79</v>
          </cell>
        </row>
        <row r="10732">
          <cell r="B10732">
            <v>44293</v>
          </cell>
          <cell r="C10732">
            <v>3645.14</v>
          </cell>
        </row>
        <row r="10733">
          <cell r="B10733">
            <v>44294</v>
          </cell>
          <cell r="C10733">
            <v>3639.62</v>
          </cell>
        </row>
        <row r="10734">
          <cell r="B10734">
            <v>44295</v>
          </cell>
          <cell r="C10734">
            <v>3634.07</v>
          </cell>
        </row>
        <row r="10735">
          <cell r="B10735">
            <v>44296</v>
          </cell>
          <cell r="C10735">
            <v>3650.23</v>
          </cell>
        </row>
        <row r="10736">
          <cell r="B10736">
            <v>44297</v>
          </cell>
          <cell r="C10736">
            <v>3650.23</v>
          </cell>
        </row>
        <row r="10737">
          <cell r="B10737">
            <v>44298</v>
          </cell>
          <cell r="C10737">
            <v>3650.23</v>
          </cell>
        </row>
        <row r="10738">
          <cell r="B10738">
            <v>44299</v>
          </cell>
          <cell r="C10738">
            <v>3653.57</v>
          </cell>
        </row>
        <row r="10739">
          <cell r="B10739">
            <v>44300</v>
          </cell>
          <cell r="C10739">
            <v>3666.17</v>
          </cell>
        </row>
        <row r="10740">
          <cell r="B10740">
            <v>44301</v>
          </cell>
          <cell r="C10740">
            <v>3665.49</v>
          </cell>
        </row>
        <row r="10741">
          <cell r="B10741">
            <v>44302</v>
          </cell>
          <cell r="C10741">
            <v>3620.4</v>
          </cell>
        </row>
        <row r="10742">
          <cell r="B10742">
            <v>44303</v>
          </cell>
          <cell r="C10742">
            <v>3595.57</v>
          </cell>
        </row>
        <row r="10743">
          <cell r="B10743">
            <v>44304</v>
          </cell>
          <cell r="C10743">
            <v>3595.57</v>
          </cell>
        </row>
        <row r="10744">
          <cell r="B10744">
            <v>44305</v>
          </cell>
          <cell r="C10744">
            <v>3595.57</v>
          </cell>
        </row>
        <row r="10745">
          <cell r="B10745">
            <v>44306</v>
          </cell>
          <cell r="C10745">
            <v>3606.42</v>
          </cell>
        </row>
        <row r="10746">
          <cell r="B10746">
            <v>44307</v>
          </cell>
          <cell r="C10746">
            <v>3636.26</v>
          </cell>
        </row>
        <row r="10747">
          <cell r="B10747">
            <v>44308</v>
          </cell>
          <cell r="C10747">
            <v>3639.12</v>
          </cell>
        </row>
        <row r="10748">
          <cell r="B10748">
            <v>44309</v>
          </cell>
          <cell r="C10748">
            <v>3630.81</v>
          </cell>
        </row>
        <row r="10749">
          <cell r="B10749">
            <v>44310</v>
          </cell>
          <cell r="C10749">
            <v>3640.07</v>
          </cell>
        </row>
        <row r="10750">
          <cell r="B10750">
            <v>44311</v>
          </cell>
          <cell r="C10750">
            <v>3640.07</v>
          </cell>
        </row>
        <row r="10751">
          <cell r="B10751">
            <v>44312</v>
          </cell>
          <cell r="C10751">
            <v>3640.07</v>
          </cell>
        </row>
        <row r="10752">
          <cell r="B10752">
            <v>44313</v>
          </cell>
          <cell r="C10752">
            <v>3659.62</v>
          </cell>
        </row>
        <row r="10753">
          <cell r="B10753">
            <v>44314</v>
          </cell>
          <cell r="C10753">
            <v>3717.46</v>
          </cell>
        </row>
        <row r="10754">
          <cell r="B10754">
            <v>44315</v>
          </cell>
          <cell r="C10754">
            <v>3699.74</v>
          </cell>
        </row>
        <row r="10755">
          <cell r="B10755">
            <v>44316</v>
          </cell>
          <cell r="C10755">
            <v>3712.89</v>
          </cell>
        </row>
        <row r="10756">
          <cell r="B10756">
            <v>44317</v>
          </cell>
          <cell r="C10756">
            <v>3740.14</v>
          </cell>
        </row>
        <row r="10757">
          <cell r="B10757">
            <v>44318</v>
          </cell>
          <cell r="C10757">
            <v>3740.14</v>
          </cell>
        </row>
        <row r="10758">
          <cell r="B10758">
            <v>44319</v>
          </cell>
          <cell r="C10758">
            <v>3740.14</v>
          </cell>
        </row>
        <row r="10759">
          <cell r="B10759">
            <v>44320</v>
          </cell>
          <cell r="C10759">
            <v>3816.65</v>
          </cell>
        </row>
        <row r="10760">
          <cell r="B10760">
            <v>44321</v>
          </cell>
          <cell r="C10760">
            <v>3831.35</v>
          </cell>
        </row>
        <row r="10761">
          <cell r="B10761">
            <v>44322</v>
          </cell>
          <cell r="C10761">
            <v>3846.28</v>
          </cell>
        </row>
        <row r="10762">
          <cell r="B10762">
            <v>44323</v>
          </cell>
          <cell r="C10762">
            <v>3800.33</v>
          </cell>
        </row>
        <row r="10763">
          <cell r="B10763">
            <v>44324</v>
          </cell>
          <cell r="C10763">
            <v>3765.33</v>
          </cell>
        </row>
        <row r="10764">
          <cell r="B10764">
            <v>44325</v>
          </cell>
          <cell r="C10764">
            <v>3765.33</v>
          </cell>
        </row>
        <row r="10765">
          <cell r="B10765">
            <v>44326</v>
          </cell>
          <cell r="C10765">
            <v>3765.33</v>
          </cell>
        </row>
        <row r="10766">
          <cell r="B10766">
            <v>44327</v>
          </cell>
          <cell r="C10766">
            <v>3714.94</v>
          </cell>
        </row>
        <row r="10767">
          <cell r="B10767">
            <v>44328</v>
          </cell>
          <cell r="C10767">
            <v>3703.2</v>
          </cell>
        </row>
        <row r="10768">
          <cell r="B10768">
            <v>44329</v>
          </cell>
          <cell r="C10768">
            <v>3734.09</v>
          </cell>
        </row>
        <row r="10769">
          <cell r="B10769">
            <v>44330</v>
          </cell>
          <cell r="C10769">
            <v>3728.09</v>
          </cell>
        </row>
        <row r="10770">
          <cell r="B10770">
            <v>44331</v>
          </cell>
          <cell r="C10770">
            <v>3682.84</v>
          </cell>
        </row>
        <row r="10771">
          <cell r="B10771">
            <v>44332</v>
          </cell>
          <cell r="C10771">
            <v>3682.84</v>
          </cell>
        </row>
        <row r="10772">
          <cell r="B10772">
            <v>44333</v>
          </cell>
          <cell r="C10772">
            <v>3682.84</v>
          </cell>
        </row>
        <row r="10773">
          <cell r="B10773">
            <v>44334</v>
          </cell>
          <cell r="C10773">
            <v>3682.84</v>
          </cell>
        </row>
        <row r="10774">
          <cell r="B10774">
            <v>44335</v>
          </cell>
          <cell r="C10774">
            <v>3655.74</v>
          </cell>
        </row>
        <row r="10775">
          <cell r="B10775">
            <v>44336</v>
          </cell>
          <cell r="C10775">
            <v>3682.66</v>
          </cell>
        </row>
        <row r="10776">
          <cell r="B10776">
            <v>44337</v>
          </cell>
          <cell r="C10776">
            <v>3721.57</v>
          </cell>
        </row>
        <row r="10777">
          <cell r="B10777">
            <v>44338</v>
          </cell>
          <cell r="C10777">
            <v>3738.19</v>
          </cell>
        </row>
        <row r="10778">
          <cell r="B10778">
            <v>44339</v>
          </cell>
          <cell r="C10778">
            <v>3738.19</v>
          </cell>
        </row>
        <row r="10779">
          <cell r="B10779">
            <v>44340</v>
          </cell>
          <cell r="C10779">
            <v>3738.19</v>
          </cell>
        </row>
        <row r="10780">
          <cell r="B10780">
            <v>44341</v>
          </cell>
          <cell r="C10780">
            <v>3750.66</v>
          </cell>
        </row>
        <row r="10781">
          <cell r="B10781">
            <v>44342</v>
          </cell>
          <cell r="C10781">
            <v>3735.41</v>
          </cell>
        </row>
        <row r="10782">
          <cell r="B10782">
            <v>44343</v>
          </cell>
          <cell r="C10782">
            <v>3747.48</v>
          </cell>
        </row>
        <row r="10783">
          <cell r="B10783">
            <v>44344</v>
          </cell>
          <cell r="C10783">
            <v>3729.02</v>
          </cell>
        </row>
        <row r="10784">
          <cell r="B10784">
            <v>44345</v>
          </cell>
          <cell r="C10784">
            <v>3715.28</v>
          </cell>
        </row>
        <row r="10785">
          <cell r="B10785">
            <v>44346</v>
          </cell>
          <cell r="C10785">
            <v>3715.28</v>
          </cell>
        </row>
        <row r="10786">
          <cell r="B10786">
            <v>44347</v>
          </cell>
          <cell r="C10786">
            <v>3715.28</v>
          </cell>
        </row>
        <row r="10787">
          <cell r="B10787">
            <v>44348</v>
          </cell>
          <cell r="C10787">
            <v>3715.28</v>
          </cell>
        </row>
        <row r="10788">
          <cell r="B10788">
            <v>44349</v>
          </cell>
          <cell r="C10788">
            <v>3671.38</v>
          </cell>
        </row>
        <row r="10789">
          <cell r="B10789">
            <v>44350</v>
          </cell>
          <cell r="C10789">
            <v>3642.29</v>
          </cell>
        </row>
        <row r="10790">
          <cell r="B10790">
            <v>44351</v>
          </cell>
          <cell r="C10790">
            <v>3657.41</v>
          </cell>
        </row>
        <row r="10791">
          <cell r="B10791">
            <v>44352</v>
          </cell>
          <cell r="C10791">
            <v>3609.2</v>
          </cell>
        </row>
        <row r="10792">
          <cell r="B10792">
            <v>44353</v>
          </cell>
          <cell r="C10792">
            <v>3609.2</v>
          </cell>
        </row>
        <row r="10793">
          <cell r="B10793">
            <v>44354</v>
          </cell>
          <cell r="C10793">
            <v>3609.2</v>
          </cell>
        </row>
        <row r="10794">
          <cell r="B10794">
            <v>44355</v>
          </cell>
          <cell r="C10794">
            <v>3609.2</v>
          </cell>
        </row>
        <row r="10795">
          <cell r="B10795">
            <v>44356</v>
          </cell>
          <cell r="C10795">
            <v>3597.18</v>
          </cell>
        </row>
        <row r="10796">
          <cell r="B10796">
            <v>44357</v>
          </cell>
          <cell r="C10796">
            <v>3588.41</v>
          </cell>
        </row>
        <row r="10797">
          <cell r="B10797">
            <v>44358</v>
          </cell>
          <cell r="C10797">
            <v>3589.86</v>
          </cell>
        </row>
        <row r="10798">
          <cell r="B10798">
            <v>44359</v>
          </cell>
          <cell r="C10798">
            <v>3626.02</v>
          </cell>
        </row>
        <row r="10799">
          <cell r="B10799">
            <v>44360</v>
          </cell>
          <cell r="C10799">
            <v>3626.02</v>
          </cell>
        </row>
        <row r="10800">
          <cell r="B10800">
            <v>44361</v>
          </cell>
          <cell r="C10800">
            <v>3626.02</v>
          </cell>
        </row>
        <row r="10801">
          <cell r="B10801">
            <v>44362</v>
          </cell>
          <cell r="C10801">
            <v>3626.02</v>
          </cell>
        </row>
        <row r="10802">
          <cell r="B10802">
            <v>44363</v>
          </cell>
          <cell r="C10802">
            <v>3693.35</v>
          </cell>
        </row>
        <row r="10803">
          <cell r="B10803">
            <v>44364</v>
          </cell>
          <cell r="C10803">
            <v>3690.56</v>
          </cell>
        </row>
        <row r="10804">
          <cell r="B10804">
            <v>44365</v>
          </cell>
          <cell r="C10804">
            <v>3730.45</v>
          </cell>
        </row>
        <row r="10805">
          <cell r="B10805">
            <v>44366</v>
          </cell>
          <cell r="C10805">
            <v>3753.77</v>
          </cell>
        </row>
        <row r="10806">
          <cell r="B10806">
            <v>44367</v>
          </cell>
          <cell r="C10806">
            <v>3753.77</v>
          </cell>
        </row>
        <row r="10807">
          <cell r="B10807">
            <v>44368</v>
          </cell>
          <cell r="C10807">
            <v>3753.77</v>
          </cell>
        </row>
        <row r="10808">
          <cell r="B10808">
            <v>44369</v>
          </cell>
          <cell r="C10808">
            <v>3758.08</v>
          </cell>
        </row>
        <row r="10809">
          <cell r="B10809">
            <v>44370</v>
          </cell>
          <cell r="C10809">
            <v>3784.45</v>
          </cell>
        </row>
        <row r="10810">
          <cell r="B10810">
            <v>44371</v>
          </cell>
          <cell r="C10810">
            <v>3773.11</v>
          </cell>
        </row>
        <row r="10811">
          <cell r="B10811">
            <v>44372</v>
          </cell>
          <cell r="C10811">
            <v>3770.35</v>
          </cell>
        </row>
        <row r="10812">
          <cell r="B10812">
            <v>44373</v>
          </cell>
          <cell r="C10812">
            <v>3739.03</v>
          </cell>
        </row>
        <row r="10813">
          <cell r="B10813">
            <v>44374</v>
          </cell>
          <cell r="C10813">
            <v>3739.03</v>
          </cell>
        </row>
        <row r="10814">
          <cell r="B10814">
            <v>44375</v>
          </cell>
          <cell r="C10814">
            <v>3739.03</v>
          </cell>
        </row>
        <row r="10815">
          <cell r="B10815">
            <v>44376</v>
          </cell>
          <cell r="C10815">
            <v>3713.17</v>
          </cell>
        </row>
        <row r="10816">
          <cell r="B10816">
            <v>44377</v>
          </cell>
          <cell r="C10816">
            <v>3756.67</v>
          </cell>
        </row>
        <row r="10817">
          <cell r="B10817">
            <v>44378</v>
          </cell>
          <cell r="C10817">
            <v>3748.5</v>
          </cell>
        </row>
        <row r="10818">
          <cell r="B10818">
            <v>44379</v>
          </cell>
          <cell r="C10818">
            <v>3775.53</v>
          </cell>
        </row>
        <row r="10819">
          <cell r="B10819">
            <v>44380</v>
          </cell>
          <cell r="C10819">
            <v>3777.17</v>
          </cell>
        </row>
        <row r="10820">
          <cell r="B10820">
            <v>44381</v>
          </cell>
          <cell r="C10820">
            <v>3777.17</v>
          </cell>
        </row>
        <row r="10821">
          <cell r="B10821">
            <v>44382</v>
          </cell>
          <cell r="C10821">
            <v>3777.17</v>
          </cell>
        </row>
        <row r="10822">
          <cell r="B10822">
            <v>44383</v>
          </cell>
          <cell r="C10822">
            <v>3777.17</v>
          </cell>
        </row>
        <row r="10823">
          <cell r="B10823">
            <v>44384</v>
          </cell>
          <cell r="C10823">
            <v>3782.27</v>
          </cell>
        </row>
        <row r="10824">
          <cell r="B10824">
            <v>44385</v>
          </cell>
          <cell r="C10824">
            <v>3815.22</v>
          </cell>
        </row>
        <row r="10825">
          <cell r="B10825">
            <v>44386</v>
          </cell>
          <cell r="C10825">
            <v>3850.46</v>
          </cell>
        </row>
        <row r="10826">
          <cell r="B10826">
            <v>44387</v>
          </cell>
          <cell r="C10826">
            <v>3829.46</v>
          </cell>
        </row>
        <row r="10827">
          <cell r="B10827">
            <v>44388</v>
          </cell>
          <cell r="C10827">
            <v>3829.46</v>
          </cell>
        </row>
        <row r="10828">
          <cell r="B10828">
            <v>44389</v>
          </cell>
          <cell r="C10828">
            <v>3829.46</v>
          </cell>
        </row>
        <row r="10829">
          <cell r="B10829">
            <v>44390</v>
          </cell>
          <cell r="C10829">
            <v>3824.08</v>
          </cell>
        </row>
        <row r="10830">
          <cell r="B10830">
            <v>44391</v>
          </cell>
          <cell r="C10830">
            <v>3826.85</v>
          </cell>
        </row>
        <row r="10831">
          <cell r="B10831">
            <v>44392</v>
          </cell>
          <cell r="C10831">
            <v>3796.07</v>
          </cell>
        </row>
        <row r="10832">
          <cell r="B10832">
            <v>44393</v>
          </cell>
          <cell r="C10832">
            <v>3809.07</v>
          </cell>
        </row>
        <row r="10833">
          <cell r="B10833">
            <v>44394</v>
          </cell>
          <cell r="C10833">
            <v>3808.46</v>
          </cell>
        </row>
        <row r="10834">
          <cell r="B10834">
            <v>44395</v>
          </cell>
          <cell r="C10834">
            <v>3808.46</v>
          </cell>
        </row>
        <row r="10835">
          <cell r="B10835">
            <v>44396</v>
          </cell>
          <cell r="C10835">
            <v>3808.46</v>
          </cell>
        </row>
        <row r="10836">
          <cell r="B10836">
            <v>44397</v>
          </cell>
          <cell r="C10836">
            <v>3842.97</v>
          </cell>
        </row>
        <row r="10837">
          <cell r="B10837">
            <v>44398</v>
          </cell>
          <cell r="C10837">
            <v>3842.97</v>
          </cell>
        </row>
        <row r="10838">
          <cell r="B10838">
            <v>44399</v>
          </cell>
          <cell r="C10838">
            <v>3855.68</v>
          </cell>
        </row>
        <row r="10839">
          <cell r="B10839">
            <v>44400</v>
          </cell>
          <cell r="C10839">
            <v>3866.86</v>
          </cell>
        </row>
        <row r="10840">
          <cell r="B10840">
            <v>44401</v>
          </cell>
          <cell r="C10840">
            <v>3874.44</v>
          </cell>
        </row>
        <row r="10841">
          <cell r="B10841">
            <v>44402</v>
          </cell>
          <cell r="C10841">
            <v>3874.44</v>
          </cell>
        </row>
        <row r="10842">
          <cell r="B10842">
            <v>44403</v>
          </cell>
          <cell r="C10842">
            <v>3874.44</v>
          </cell>
        </row>
        <row r="10843">
          <cell r="B10843">
            <v>44404</v>
          </cell>
          <cell r="C10843">
            <v>3904.17</v>
          </cell>
        </row>
        <row r="10844">
          <cell r="B10844">
            <v>44405</v>
          </cell>
          <cell r="C10844">
            <v>3918.49</v>
          </cell>
        </row>
        <row r="10845">
          <cell r="B10845">
            <v>44406</v>
          </cell>
          <cell r="C10845">
            <v>3902.18</v>
          </cell>
        </row>
        <row r="10846">
          <cell r="B10846">
            <v>44407</v>
          </cell>
          <cell r="C10846">
            <v>3836.95</v>
          </cell>
        </row>
        <row r="10847">
          <cell r="B10847">
            <v>44408</v>
          </cell>
          <cell r="C10847">
            <v>3867.88</v>
          </cell>
        </row>
        <row r="10848">
          <cell r="B10848">
            <v>44409</v>
          </cell>
          <cell r="C10848">
            <v>3867.88</v>
          </cell>
        </row>
        <row r="10849">
          <cell r="B10849">
            <v>44410</v>
          </cell>
          <cell r="C10849">
            <v>3867.88</v>
          </cell>
        </row>
        <row r="10850">
          <cell r="B10850">
            <v>44411</v>
          </cell>
          <cell r="C10850">
            <v>3865.46</v>
          </cell>
        </row>
        <row r="10851">
          <cell r="B10851">
            <v>44412</v>
          </cell>
          <cell r="C10851">
            <v>3913.59</v>
          </cell>
        </row>
        <row r="10852">
          <cell r="B10852">
            <v>44413</v>
          </cell>
          <cell r="C10852">
            <v>3911.36</v>
          </cell>
        </row>
        <row r="10853">
          <cell r="B10853">
            <v>44414</v>
          </cell>
          <cell r="C10853">
            <v>3910.81</v>
          </cell>
        </row>
        <row r="10854">
          <cell r="B10854">
            <v>44415</v>
          </cell>
          <cell r="C10854">
            <v>3949.33</v>
          </cell>
        </row>
        <row r="10855">
          <cell r="B10855">
            <v>44416</v>
          </cell>
          <cell r="C10855">
            <v>3949.33</v>
          </cell>
        </row>
        <row r="10856">
          <cell r="B10856">
            <v>44417</v>
          </cell>
          <cell r="C10856">
            <v>3949.33</v>
          </cell>
        </row>
        <row r="10857">
          <cell r="B10857">
            <v>44418</v>
          </cell>
          <cell r="C10857">
            <v>3988.27</v>
          </cell>
        </row>
        <row r="10858">
          <cell r="B10858">
            <v>44419</v>
          </cell>
          <cell r="C10858">
            <v>3979.8</v>
          </cell>
        </row>
        <row r="10859">
          <cell r="B10859">
            <v>44420</v>
          </cell>
          <cell r="C10859">
            <v>3950.43</v>
          </cell>
        </row>
        <row r="10860">
          <cell r="B10860">
            <v>44421</v>
          </cell>
          <cell r="C10860">
            <v>3887.07</v>
          </cell>
        </row>
        <row r="10861">
          <cell r="B10861">
            <v>44422</v>
          </cell>
          <cell r="C10861">
            <v>3830.25</v>
          </cell>
        </row>
        <row r="10862">
          <cell r="B10862">
            <v>44423</v>
          </cell>
          <cell r="C10862">
            <v>3830.25</v>
          </cell>
        </row>
        <row r="10863">
          <cell r="B10863">
            <v>44424</v>
          </cell>
          <cell r="C10863">
            <v>3830.25</v>
          </cell>
        </row>
        <row r="10864">
          <cell r="B10864">
            <v>44425</v>
          </cell>
          <cell r="C10864">
            <v>3830.25</v>
          </cell>
        </row>
        <row r="10865">
          <cell r="B10865">
            <v>44426</v>
          </cell>
          <cell r="C10865">
            <v>3868.41</v>
          </cell>
        </row>
        <row r="10866">
          <cell r="B10866">
            <v>44427</v>
          </cell>
          <cell r="C10866">
            <v>3861.33</v>
          </cell>
        </row>
        <row r="10867">
          <cell r="B10867">
            <v>44428</v>
          </cell>
          <cell r="C10867">
            <v>3876.08</v>
          </cell>
        </row>
        <row r="10868">
          <cell r="B10868">
            <v>44429</v>
          </cell>
          <cell r="C10868">
            <v>3874.95</v>
          </cell>
        </row>
        <row r="10869">
          <cell r="B10869">
            <v>44430</v>
          </cell>
          <cell r="C10869">
            <v>3874.95</v>
          </cell>
        </row>
        <row r="10870">
          <cell r="B10870">
            <v>44431</v>
          </cell>
          <cell r="C10870">
            <v>3874.95</v>
          </cell>
        </row>
        <row r="10871">
          <cell r="B10871">
            <v>44432</v>
          </cell>
          <cell r="C10871">
            <v>3867.73</v>
          </cell>
        </row>
        <row r="10872">
          <cell r="B10872">
            <v>44433</v>
          </cell>
          <cell r="C10872">
            <v>3861.88</v>
          </cell>
        </row>
        <row r="10873">
          <cell r="B10873">
            <v>44434</v>
          </cell>
          <cell r="C10873">
            <v>3865.04</v>
          </cell>
        </row>
        <row r="10874">
          <cell r="B10874">
            <v>44435</v>
          </cell>
          <cell r="C10874">
            <v>3870.57</v>
          </cell>
        </row>
        <row r="10875">
          <cell r="B10875">
            <v>44436</v>
          </cell>
          <cell r="C10875">
            <v>3834.13</v>
          </cell>
        </row>
        <row r="10876">
          <cell r="B10876">
            <v>44437</v>
          </cell>
          <cell r="C10876">
            <v>3834.13</v>
          </cell>
        </row>
        <row r="10877">
          <cell r="B10877">
            <v>44438</v>
          </cell>
          <cell r="C10877">
            <v>3834.13</v>
          </cell>
        </row>
        <row r="10878">
          <cell r="B10878">
            <v>44439</v>
          </cell>
          <cell r="C10878">
            <v>3806.87</v>
          </cell>
        </row>
        <row r="10879">
          <cell r="B10879">
            <v>44440</v>
          </cell>
          <cell r="C10879">
            <v>3774</v>
          </cell>
        </row>
        <row r="10880">
          <cell r="B10880">
            <v>44441</v>
          </cell>
          <cell r="C10880">
            <v>3753.3</v>
          </cell>
        </row>
        <row r="10881">
          <cell r="B10881">
            <v>44442</v>
          </cell>
          <cell r="C10881">
            <v>3780.85</v>
          </cell>
        </row>
        <row r="10882">
          <cell r="B10882">
            <v>44443</v>
          </cell>
          <cell r="C10882">
            <v>3790.04</v>
          </cell>
        </row>
        <row r="10883">
          <cell r="B10883">
            <v>44444</v>
          </cell>
          <cell r="C10883">
            <v>3790.04</v>
          </cell>
        </row>
        <row r="10884">
          <cell r="B10884">
            <v>44445</v>
          </cell>
          <cell r="C10884">
            <v>3790.04</v>
          </cell>
        </row>
        <row r="10885">
          <cell r="B10885">
            <v>44446</v>
          </cell>
          <cell r="C10885">
            <v>3790.04</v>
          </cell>
        </row>
        <row r="10886">
          <cell r="B10886">
            <v>44447</v>
          </cell>
          <cell r="C10886">
            <v>3812.76</v>
          </cell>
        </row>
        <row r="10887">
          <cell r="B10887">
            <v>44448</v>
          </cell>
          <cell r="C10887">
            <v>3816.14</v>
          </cell>
        </row>
        <row r="10888">
          <cell r="B10888">
            <v>44449</v>
          </cell>
          <cell r="C10888">
            <v>3829.72</v>
          </cell>
        </row>
        <row r="10889">
          <cell r="B10889">
            <v>44450</v>
          </cell>
          <cell r="C10889">
            <v>3836.85</v>
          </cell>
        </row>
        <row r="10890">
          <cell r="B10890">
            <v>44451</v>
          </cell>
          <cell r="C10890">
            <v>3836.85</v>
          </cell>
        </row>
        <row r="10891">
          <cell r="B10891">
            <v>44452</v>
          </cell>
          <cell r="C10891">
            <v>3836.85</v>
          </cell>
        </row>
        <row r="10892">
          <cell r="B10892">
            <v>44453</v>
          </cell>
          <cell r="C10892">
            <v>3835.27</v>
          </cell>
        </row>
        <row r="10893">
          <cell r="B10893">
            <v>44454</v>
          </cell>
          <cell r="C10893">
            <v>3830.83</v>
          </cell>
        </row>
        <row r="10894">
          <cell r="B10894">
            <v>44455</v>
          </cell>
          <cell r="C10894">
            <v>3825.36</v>
          </cell>
        </row>
        <row r="10895">
          <cell r="B10895">
            <v>44456</v>
          </cell>
          <cell r="C10895">
            <v>3818.16</v>
          </cell>
        </row>
        <row r="10896">
          <cell r="B10896">
            <v>44457</v>
          </cell>
          <cell r="C10896">
            <v>3828.18</v>
          </cell>
        </row>
        <row r="10897">
          <cell r="B10897">
            <v>44458</v>
          </cell>
          <cell r="C10897">
            <v>3828.18</v>
          </cell>
        </row>
        <row r="10898">
          <cell r="B10898">
            <v>44459</v>
          </cell>
          <cell r="C10898">
            <v>3828.18</v>
          </cell>
        </row>
        <row r="10899">
          <cell r="B10899">
            <v>44460</v>
          </cell>
          <cell r="C10899">
            <v>3851.22</v>
          </cell>
        </row>
        <row r="10900">
          <cell r="B10900">
            <v>44461</v>
          </cell>
          <cell r="C10900">
            <v>3843.77</v>
          </cell>
        </row>
        <row r="10901">
          <cell r="B10901">
            <v>44462</v>
          </cell>
          <cell r="C10901">
            <v>3834.66</v>
          </cell>
        </row>
        <row r="10902">
          <cell r="B10902">
            <v>44463</v>
          </cell>
          <cell r="C10902">
            <v>3835.67</v>
          </cell>
        </row>
        <row r="10903">
          <cell r="B10903">
            <v>44464</v>
          </cell>
          <cell r="C10903">
            <v>3844.88</v>
          </cell>
        </row>
        <row r="10904">
          <cell r="B10904">
            <v>44465</v>
          </cell>
          <cell r="C10904">
            <v>3844.88</v>
          </cell>
        </row>
        <row r="10905">
          <cell r="B10905">
            <v>44466</v>
          </cell>
          <cell r="C10905">
            <v>3844.88</v>
          </cell>
        </row>
        <row r="10906">
          <cell r="B10906">
            <v>44467</v>
          </cell>
          <cell r="C10906">
            <v>3837.91</v>
          </cell>
        </row>
        <row r="10907">
          <cell r="B10907">
            <v>44468</v>
          </cell>
          <cell r="C10907">
            <v>3841.94</v>
          </cell>
        </row>
        <row r="10908">
          <cell r="B10908">
            <v>44469</v>
          </cell>
          <cell r="C10908">
            <v>3834.68</v>
          </cell>
        </row>
        <row r="10909">
          <cell r="B10909">
            <v>44470</v>
          </cell>
          <cell r="C10909">
            <v>3812.77</v>
          </cell>
        </row>
        <row r="10910">
          <cell r="B10910">
            <v>44471</v>
          </cell>
          <cell r="C10910">
            <v>3781.35</v>
          </cell>
        </row>
        <row r="10911">
          <cell r="B10911">
            <v>44472</v>
          </cell>
          <cell r="C10911">
            <v>3781.35</v>
          </cell>
        </row>
        <row r="10912">
          <cell r="B10912">
            <v>44473</v>
          </cell>
          <cell r="C10912">
            <v>3781.35</v>
          </cell>
        </row>
        <row r="10913">
          <cell r="B10913">
            <v>44474</v>
          </cell>
          <cell r="C10913">
            <v>3786.05</v>
          </cell>
        </row>
        <row r="10914">
          <cell r="B10914">
            <v>44475</v>
          </cell>
          <cell r="C10914">
            <v>3796.3</v>
          </cell>
        </row>
        <row r="10915">
          <cell r="B10915">
            <v>44476</v>
          </cell>
          <cell r="C10915">
            <v>3788.03</v>
          </cell>
        </row>
        <row r="10916">
          <cell r="B10916">
            <v>44477</v>
          </cell>
          <cell r="C10916">
            <v>3772.44</v>
          </cell>
        </row>
        <row r="10917">
          <cell r="B10917">
            <v>44478</v>
          </cell>
          <cell r="C10917">
            <v>3765.8</v>
          </cell>
        </row>
        <row r="10918">
          <cell r="B10918">
            <v>44479</v>
          </cell>
          <cell r="C10918">
            <v>3765.8</v>
          </cell>
        </row>
        <row r="10919">
          <cell r="B10919">
            <v>44480</v>
          </cell>
          <cell r="C10919">
            <v>3765.8</v>
          </cell>
        </row>
        <row r="10920">
          <cell r="B10920">
            <v>44481</v>
          </cell>
          <cell r="C10920">
            <v>3765.8</v>
          </cell>
        </row>
        <row r="10921">
          <cell r="B10921">
            <v>44482</v>
          </cell>
          <cell r="C10921">
            <v>3738.48</v>
          </cell>
        </row>
        <row r="10922">
          <cell r="B10922">
            <v>44483</v>
          </cell>
          <cell r="C10922">
            <v>3725.75</v>
          </cell>
        </row>
        <row r="10923">
          <cell r="B10923">
            <v>44484</v>
          </cell>
          <cell r="C10923">
            <v>3755.29</v>
          </cell>
        </row>
        <row r="10924">
          <cell r="B10924">
            <v>44485</v>
          </cell>
          <cell r="C10924">
            <v>3772.49</v>
          </cell>
        </row>
        <row r="10925">
          <cell r="B10925">
            <v>44486</v>
          </cell>
          <cell r="C10925">
            <v>3772.49</v>
          </cell>
        </row>
        <row r="10926">
          <cell r="B10926">
            <v>44487</v>
          </cell>
          <cell r="C10926">
            <v>3772.49</v>
          </cell>
        </row>
        <row r="10927">
          <cell r="B10927">
            <v>44488</v>
          </cell>
          <cell r="C10927">
            <v>3772.49</v>
          </cell>
        </row>
        <row r="10928">
          <cell r="B10928">
            <v>44489</v>
          </cell>
          <cell r="C10928">
            <v>3766.94</v>
          </cell>
        </row>
        <row r="10929">
          <cell r="B10929">
            <v>44490</v>
          </cell>
          <cell r="C10929">
            <v>3770.58</v>
          </cell>
        </row>
        <row r="10930">
          <cell r="B10930">
            <v>44491</v>
          </cell>
          <cell r="C10930">
            <v>3783.3</v>
          </cell>
        </row>
        <row r="10931">
          <cell r="B10931">
            <v>44492</v>
          </cell>
          <cell r="C10931">
            <v>3780.38</v>
          </cell>
        </row>
        <row r="10932">
          <cell r="B10932">
            <v>44493</v>
          </cell>
          <cell r="C10932">
            <v>3780.38</v>
          </cell>
        </row>
        <row r="10933">
          <cell r="B10933">
            <v>44494</v>
          </cell>
          <cell r="C10933">
            <v>3780.38</v>
          </cell>
        </row>
        <row r="10934">
          <cell r="B10934">
            <v>44495</v>
          </cell>
          <cell r="C10934">
            <v>3769.98</v>
          </cell>
        </row>
        <row r="10935">
          <cell r="B10935">
            <v>44496</v>
          </cell>
          <cell r="C10935">
            <v>3774.46</v>
          </cell>
        </row>
        <row r="10936">
          <cell r="B10936">
            <v>44497</v>
          </cell>
          <cell r="C10936">
            <v>3761.21</v>
          </cell>
        </row>
        <row r="10937">
          <cell r="B10937">
            <v>44498</v>
          </cell>
          <cell r="C10937">
            <v>3766.1</v>
          </cell>
        </row>
        <row r="10938">
          <cell r="B10938">
            <v>44499</v>
          </cell>
          <cell r="C10938">
            <v>3784.44</v>
          </cell>
        </row>
        <row r="10939">
          <cell r="B10939">
            <v>44500</v>
          </cell>
          <cell r="C10939">
            <v>3784.44</v>
          </cell>
        </row>
        <row r="10940">
          <cell r="B10940">
            <v>44501</v>
          </cell>
          <cell r="C10940">
            <v>3784.44</v>
          </cell>
        </row>
        <row r="10941">
          <cell r="B10941">
            <v>44502</v>
          </cell>
          <cell r="C10941">
            <v>3784.44</v>
          </cell>
        </row>
        <row r="10942">
          <cell r="B10942">
            <v>44503</v>
          </cell>
          <cell r="C10942">
            <v>3778.69</v>
          </cell>
        </row>
        <row r="10943">
          <cell r="B10943">
            <v>44504</v>
          </cell>
          <cell r="C10943">
            <v>3837.84</v>
          </cell>
        </row>
        <row r="10944">
          <cell r="B10944">
            <v>44505</v>
          </cell>
          <cell r="C10944">
            <v>3847.4</v>
          </cell>
        </row>
        <row r="10945">
          <cell r="B10945">
            <v>44506</v>
          </cell>
          <cell r="C10945">
            <v>3881.76</v>
          </cell>
        </row>
        <row r="10946">
          <cell r="B10946">
            <v>44507</v>
          </cell>
          <cell r="C10946">
            <v>3881.76</v>
          </cell>
        </row>
        <row r="10947">
          <cell r="B10947">
            <v>44508</v>
          </cell>
          <cell r="C10947">
            <v>3881.76</v>
          </cell>
        </row>
        <row r="10948">
          <cell r="B10948">
            <v>44509</v>
          </cell>
          <cell r="C10948">
            <v>3874.41</v>
          </cell>
        </row>
        <row r="10949">
          <cell r="B10949">
            <v>44510</v>
          </cell>
          <cell r="C10949">
            <v>3876.86</v>
          </cell>
        </row>
        <row r="10950">
          <cell r="B10950">
            <v>44511</v>
          </cell>
          <cell r="C10950">
            <v>3875.38</v>
          </cell>
        </row>
        <row r="10951">
          <cell r="B10951">
            <v>44512</v>
          </cell>
          <cell r="C10951">
            <v>3875.38</v>
          </cell>
        </row>
        <row r="10952">
          <cell r="B10952">
            <v>44513</v>
          </cell>
          <cell r="C10952">
            <v>3888.53</v>
          </cell>
        </row>
        <row r="10953">
          <cell r="B10953">
            <v>44514</v>
          </cell>
          <cell r="C10953">
            <v>3888.53</v>
          </cell>
        </row>
        <row r="10954">
          <cell r="B10954">
            <v>44515</v>
          </cell>
          <cell r="C10954">
            <v>3888.53</v>
          </cell>
        </row>
        <row r="10955">
          <cell r="B10955">
            <v>44516</v>
          </cell>
          <cell r="C10955">
            <v>3888.53</v>
          </cell>
        </row>
        <row r="10956">
          <cell r="B10956">
            <v>44517</v>
          </cell>
          <cell r="C10956">
            <v>3898.84</v>
          </cell>
        </row>
        <row r="10957">
          <cell r="B10957">
            <v>44518</v>
          </cell>
          <cell r="C10957">
            <v>3907.95</v>
          </cell>
        </row>
        <row r="10958">
          <cell r="B10958">
            <v>44519</v>
          </cell>
          <cell r="C10958">
            <v>3943.43</v>
          </cell>
        </row>
        <row r="10959">
          <cell r="B10959">
            <v>44520</v>
          </cell>
          <cell r="C10959">
            <v>3923.53</v>
          </cell>
        </row>
        <row r="10960">
          <cell r="B10960">
            <v>44521</v>
          </cell>
          <cell r="C10960">
            <v>3923.53</v>
          </cell>
        </row>
        <row r="10961">
          <cell r="B10961">
            <v>44522</v>
          </cell>
          <cell r="C10961">
            <v>3923.53</v>
          </cell>
        </row>
        <row r="10962">
          <cell r="B10962">
            <v>44523</v>
          </cell>
          <cell r="C10962">
            <v>3913.26</v>
          </cell>
        </row>
        <row r="10963">
          <cell r="B10963">
            <v>44524</v>
          </cell>
          <cell r="C10963">
            <v>3944.37</v>
          </cell>
        </row>
        <row r="10964">
          <cell r="B10964">
            <v>44525</v>
          </cell>
          <cell r="C10964">
            <v>3969.49</v>
          </cell>
        </row>
        <row r="10965">
          <cell r="B10965">
            <v>44526</v>
          </cell>
          <cell r="C10965">
            <v>3969.49</v>
          </cell>
        </row>
        <row r="10966">
          <cell r="B10966">
            <v>44527</v>
          </cell>
          <cell r="C10966">
            <v>4008.13</v>
          </cell>
        </row>
        <row r="10967">
          <cell r="B10967">
            <v>44528</v>
          </cell>
          <cell r="C10967">
            <v>4008.13</v>
          </cell>
        </row>
        <row r="10968">
          <cell r="B10968">
            <v>44529</v>
          </cell>
          <cell r="C10968">
            <v>4008.13</v>
          </cell>
        </row>
        <row r="10969">
          <cell r="B10969">
            <v>44530</v>
          </cell>
          <cell r="C10969">
            <v>4010.98</v>
          </cell>
        </row>
        <row r="10970">
          <cell r="B10970">
            <v>44531</v>
          </cell>
          <cell r="C10970">
            <v>4004.54</v>
          </cell>
        </row>
        <row r="10971">
          <cell r="B10971">
            <v>44532</v>
          </cell>
          <cell r="C10971">
            <v>3953.26</v>
          </cell>
        </row>
        <row r="10972">
          <cell r="B10972">
            <v>44533</v>
          </cell>
          <cell r="C10972">
            <v>3945.18</v>
          </cell>
        </row>
        <row r="10973">
          <cell r="B10973">
            <v>44534</v>
          </cell>
          <cell r="C10973">
            <v>3948.33</v>
          </cell>
        </row>
        <row r="10974">
          <cell r="B10974">
            <v>44535</v>
          </cell>
          <cell r="C10974">
            <v>3948.33</v>
          </cell>
        </row>
        <row r="10975">
          <cell r="B10975">
            <v>44536</v>
          </cell>
          <cell r="C10975">
            <v>3948.33</v>
          </cell>
        </row>
        <row r="10976">
          <cell r="B10976">
            <v>44537</v>
          </cell>
          <cell r="C10976">
            <v>3944</v>
          </cell>
        </row>
        <row r="10977">
          <cell r="B10977">
            <v>44538</v>
          </cell>
          <cell r="C10977">
            <v>3906.1</v>
          </cell>
        </row>
        <row r="10978">
          <cell r="B10978">
            <v>44539</v>
          </cell>
          <cell r="C10978">
            <v>3906.1</v>
          </cell>
        </row>
        <row r="10979">
          <cell r="B10979">
            <v>44540</v>
          </cell>
          <cell r="C10979">
            <v>3899.87</v>
          </cell>
        </row>
        <row r="10980">
          <cell r="B10980">
            <v>44541</v>
          </cell>
          <cell r="C10980">
            <v>3887.71</v>
          </cell>
        </row>
        <row r="10981">
          <cell r="B10981">
            <v>44542</v>
          </cell>
          <cell r="C10981">
            <v>3887.71</v>
          </cell>
        </row>
        <row r="10982">
          <cell r="B10982">
            <v>44543</v>
          </cell>
          <cell r="C10982">
            <v>3887.71</v>
          </cell>
        </row>
        <row r="10983">
          <cell r="B10983">
            <v>44544</v>
          </cell>
          <cell r="C10983">
            <v>3886.87</v>
          </cell>
        </row>
        <row r="10984">
          <cell r="B10984">
            <v>44545</v>
          </cell>
          <cell r="C10984">
            <v>3936.41</v>
          </cell>
        </row>
        <row r="10985">
          <cell r="B10985">
            <v>44546</v>
          </cell>
          <cell r="C10985">
            <v>3990.27</v>
          </cell>
        </row>
        <row r="10986">
          <cell r="B10986">
            <v>44547</v>
          </cell>
          <cell r="C10986">
            <v>4002.97</v>
          </cell>
        </row>
        <row r="10987">
          <cell r="B10987">
            <v>44548</v>
          </cell>
          <cell r="C10987">
            <v>3999.85</v>
          </cell>
        </row>
        <row r="10988">
          <cell r="B10988">
            <v>44549</v>
          </cell>
          <cell r="C10988">
            <v>3999.85</v>
          </cell>
        </row>
        <row r="10989">
          <cell r="B10989">
            <v>44550</v>
          </cell>
          <cell r="C10989">
            <v>3999.85</v>
          </cell>
        </row>
        <row r="10990">
          <cell r="B10990">
            <v>44551</v>
          </cell>
          <cell r="C10990">
            <v>4002.12</v>
          </cell>
        </row>
        <row r="10991">
          <cell r="B10991">
            <v>44552</v>
          </cell>
          <cell r="C10991">
            <v>3996.28</v>
          </cell>
        </row>
        <row r="10992">
          <cell r="B10992">
            <v>44553</v>
          </cell>
          <cell r="C10992">
            <v>3997.71</v>
          </cell>
        </row>
        <row r="10993">
          <cell r="B10993">
            <v>44554</v>
          </cell>
          <cell r="C10993">
            <v>3997.09</v>
          </cell>
        </row>
        <row r="10994">
          <cell r="B10994">
            <v>44555</v>
          </cell>
          <cell r="C10994">
            <v>3994.15</v>
          </cell>
        </row>
        <row r="10995">
          <cell r="B10995">
            <v>44556</v>
          </cell>
          <cell r="C10995">
            <v>3994.15</v>
          </cell>
        </row>
        <row r="10996">
          <cell r="B10996">
            <v>44557</v>
          </cell>
          <cell r="C10996">
            <v>3994.15</v>
          </cell>
        </row>
        <row r="10997">
          <cell r="B10997">
            <v>44558</v>
          </cell>
          <cell r="C10997">
            <v>3989.41</v>
          </cell>
        </row>
        <row r="10998">
          <cell r="B10998">
            <v>44559</v>
          </cell>
          <cell r="C10998">
            <v>4004</v>
          </cell>
        </row>
        <row r="10999">
          <cell r="B10999">
            <v>44560</v>
          </cell>
          <cell r="C10999">
            <v>4023.68</v>
          </cell>
        </row>
        <row r="11000">
          <cell r="B11000">
            <v>44561</v>
          </cell>
          <cell r="C11000">
            <v>3981.16</v>
          </cell>
        </row>
        <row r="11001">
          <cell r="B11001">
            <v>44562</v>
          </cell>
          <cell r="C11001">
            <v>3981.16</v>
          </cell>
        </row>
        <row r="11002">
          <cell r="B11002">
            <v>44563</v>
          </cell>
          <cell r="C11002">
            <v>3981.16</v>
          </cell>
        </row>
        <row r="11003">
          <cell r="B11003">
            <v>44564</v>
          </cell>
          <cell r="C11003">
            <v>3981.16</v>
          </cell>
        </row>
        <row r="11004">
          <cell r="B11004">
            <v>44565</v>
          </cell>
          <cell r="C11004">
            <v>4082.75</v>
          </cell>
        </row>
        <row r="11005">
          <cell r="B11005">
            <v>44566</v>
          </cell>
          <cell r="C11005">
            <v>4084.11</v>
          </cell>
        </row>
        <row r="11006">
          <cell r="B11006">
            <v>44567</v>
          </cell>
          <cell r="C11006">
            <v>4042.36</v>
          </cell>
        </row>
        <row r="11007">
          <cell r="B11007">
            <v>44568</v>
          </cell>
          <cell r="C11007">
            <v>4039.31</v>
          </cell>
        </row>
        <row r="11008">
          <cell r="B11008">
            <v>44569</v>
          </cell>
          <cell r="C11008">
            <v>4043.46</v>
          </cell>
        </row>
        <row r="11009">
          <cell r="B11009">
            <v>44570</v>
          </cell>
          <cell r="C11009">
            <v>4043.46</v>
          </cell>
        </row>
        <row r="11010">
          <cell r="B11010">
            <v>44571</v>
          </cell>
          <cell r="C11010">
            <v>4043.46</v>
          </cell>
        </row>
        <row r="11011">
          <cell r="B11011">
            <v>44572</v>
          </cell>
          <cell r="C11011">
            <v>4043.46</v>
          </cell>
        </row>
        <row r="11012">
          <cell r="B11012">
            <v>44573</v>
          </cell>
          <cell r="C11012">
            <v>4011.65</v>
          </cell>
        </row>
        <row r="11013">
          <cell r="B11013">
            <v>44574</v>
          </cell>
          <cell r="C11013">
            <v>3970.08</v>
          </cell>
        </row>
        <row r="11014">
          <cell r="B11014">
            <v>44575</v>
          </cell>
          <cell r="C11014">
            <v>3950.4</v>
          </cell>
        </row>
        <row r="11015">
          <cell r="B11015">
            <v>44576</v>
          </cell>
          <cell r="C11015">
            <v>3993.65</v>
          </cell>
        </row>
        <row r="11016">
          <cell r="B11016">
            <v>44577</v>
          </cell>
          <cell r="C11016">
            <v>3993.65</v>
          </cell>
        </row>
        <row r="11017">
          <cell r="B11017">
            <v>44578</v>
          </cell>
          <cell r="C11017">
            <v>3993.65</v>
          </cell>
        </row>
        <row r="11018">
          <cell r="B11018">
            <v>44579</v>
          </cell>
          <cell r="C11018">
            <v>3993.65</v>
          </cell>
        </row>
        <row r="11019">
          <cell r="B11019">
            <v>44580</v>
          </cell>
          <cell r="C11019">
            <v>4033.37</v>
          </cell>
        </row>
        <row r="11020">
          <cell r="B11020">
            <v>44581</v>
          </cell>
          <cell r="C11020">
            <v>4003.95</v>
          </cell>
        </row>
        <row r="11021">
          <cell r="B11021">
            <v>44582</v>
          </cell>
          <cell r="C11021">
            <v>3980.8</v>
          </cell>
        </row>
        <row r="11022">
          <cell r="B11022">
            <v>44583</v>
          </cell>
          <cell r="C11022">
            <v>3964.3</v>
          </cell>
        </row>
        <row r="11023">
          <cell r="B11023">
            <v>44584</v>
          </cell>
          <cell r="C11023">
            <v>3964.3</v>
          </cell>
        </row>
        <row r="11024">
          <cell r="B11024">
            <v>44585</v>
          </cell>
          <cell r="C11024">
            <v>3964.3</v>
          </cell>
        </row>
        <row r="11025">
          <cell r="B11025">
            <v>44586</v>
          </cell>
          <cell r="C11025">
            <v>3977.51</v>
          </cell>
        </row>
        <row r="11026">
          <cell r="B11026">
            <v>44587</v>
          </cell>
          <cell r="C11026">
            <v>3987.32</v>
          </cell>
        </row>
        <row r="11027">
          <cell r="B11027">
            <v>44588</v>
          </cell>
          <cell r="C11027">
            <v>3947.83</v>
          </cell>
        </row>
        <row r="11028">
          <cell r="B11028">
            <v>44589</v>
          </cell>
          <cell r="C11028">
            <v>3944.04</v>
          </cell>
        </row>
        <row r="11029">
          <cell r="B11029">
            <v>44590</v>
          </cell>
          <cell r="C11029">
            <v>3982.6</v>
          </cell>
        </row>
        <row r="11030">
          <cell r="B11030">
            <v>44591</v>
          </cell>
          <cell r="C11030">
            <v>3982.6</v>
          </cell>
        </row>
        <row r="11031">
          <cell r="B11031">
            <v>44592</v>
          </cell>
          <cell r="C11031">
            <v>3982.6</v>
          </cell>
        </row>
        <row r="11032">
          <cell r="B11032">
            <v>44593</v>
          </cell>
          <cell r="C11032">
            <v>3942.73</v>
          </cell>
        </row>
        <row r="11033">
          <cell r="B11033">
            <v>44594</v>
          </cell>
          <cell r="C11033">
            <v>3923.61</v>
          </cell>
        </row>
        <row r="11034">
          <cell r="B11034">
            <v>44595</v>
          </cell>
          <cell r="C11034">
            <v>3928.05</v>
          </cell>
        </row>
        <row r="11035">
          <cell r="B11035">
            <v>44596</v>
          </cell>
          <cell r="C11035">
            <v>3951.96</v>
          </cell>
        </row>
        <row r="11036">
          <cell r="B11036">
            <v>44597</v>
          </cell>
          <cell r="C11036">
            <v>3962.68</v>
          </cell>
        </row>
        <row r="11037">
          <cell r="B11037">
            <v>44598</v>
          </cell>
          <cell r="C11037">
            <v>3962.68</v>
          </cell>
        </row>
        <row r="11038">
          <cell r="B11038">
            <v>44599</v>
          </cell>
          <cell r="C11038">
            <v>3962.68</v>
          </cell>
        </row>
        <row r="11039">
          <cell r="B11039">
            <v>44600</v>
          </cell>
          <cell r="C11039">
            <v>3963.84</v>
          </cell>
        </row>
        <row r="11040">
          <cell r="B11040">
            <v>44601</v>
          </cell>
          <cell r="C11040">
            <v>3965.41</v>
          </cell>
        </row>
        <row r="11041">
          <cell r="B11041">
            <v>44602</v>
          </cell>
          <cell r="C11041">
            <v>3939.31</v>
          </cell>
        </row>
        <row r="11042">
          <cell r="B11042">
            <v>44603</v>
          </cell>
          <cell r="C11042">
            <v>3917.75</v>
          </cell>
        </row>
        <row r="11043">
          <cell r="B11043">
            <v>44604</v>
          </cell>
          <cell r="C11043">
            <v>3917.52</v>
          </cell>
        </row>
        <row r="11044">
          <cell r="B11044">
            <v>44605</v>
          </cell>
          <cell r="C11044">
            <v>3917.52</v>
          </cell>
        </row>
        <row r="11045">
          <cell r="B11045">
            <v>44606</v>
          </cell>
          <cell r="C11045">
            <v>3917.52</v>
          </cell>
        </row>
        <row r="11046">
          <cell r="B11046">
            <v>44607</v>
          </cell>
          <cell r="C11046">
            <v>3938.97</v>
          </cell>
        </row>
        <row r="11047">
          <cell r="B11047">
            <v>44608</v>
          </cell>
          <cell r="C11047">
            <v>3946.88</v>
          </cell>
        </row>
        <row r="11048">
          <cell r="B11048">
            <v>44609</v>
          </cell>
          <cell r="C11048">
            <v>3963.72</v>
          </cell>
        </row>
        <row r="11049">
          <cell r="B11049">
            <v>44610</v>
          </cell>
          <cell r="C11049">
            <v>3953.26</v>
          </cell>
        </row>
        <row r="11050">
          <cell r="B11050">
            <v>44611</v>
          </cell>
          <cell r="C11050">
            <v>3927.25</v>
          </cell>
        </row>
        <row r="11051">
          <cell r="B11051">
            <v>44612</v>
          </cell>
          <cell r="C11051">
            <v>3927.25</v>
          </cell>
        </row>
        <row r="11052">
          <cell r="B11052">
            <v>44613</v>
          </cell>
          <cell r="C11052">
            <v>3927.25</v>
          </cell>
        </row>
        <row r="11053">
          <cell r="B11053">
            <v>44614</v>
          </cell>
          <cell r="C11053">
            <v>3927.25</v>
          </cell>
        </row>
        <row r="11054">
          <cell r="B11054">
            <v>44615</v>
          </cell>
          <cell r="C11054">
            <v>3932.4</v>
          </cell>
        </row>
        <row r="11055">
          <cell r="B11055">
            <v>44616</v>
          </cell>
          <cell r="C11055">
            <v>3913.79</v>
          </cell>
        </row>
        <row r="11056">
          <cell r="B11056">
            <v>44617</v>
          </cell>
          <cell r="C11056">
            <v>3940.2</v>
          </cell>
        </row>
        <row r="11057">
          <cell r="B11057">
            <v>44618</v>
          </cell>
          <cell r="C11057">
            <v>3910.64</v>
          </cell>
        </row>
        <row r="11058">
          <cell r="B11058">
            <v>44619</v>
          </cell>
          <cell r="C11058">
            <v>3910.64</v>
          </cell>
        </row>
        <row r="11059">
          <cell r="B11059">
            <v>44620</v>
          </cell>
          <cell r="C11059">
            <v>3910.64</v>
          </cell>
        </row>
        <row r="11060">
          <cell r="B11060">
            <v>44621</v>
          </cell>
          <cell r="C11060">
            <v>3910.28</v>
          </cell>
        </row>
        <row r="11061">
          <cell r="B11061">
            <v>44622</v>
          </cell>
          <cell r="C11061">
            <v>3901.62</v>
          </cell>
        </row>
        <row r="11062">
          <cell r="B11062">
            <v>44623</v>
          </cell>
          <cell r="C11062">
            <v>3862.95</v>
          </cell>
        </row>
        <row r="11063">
          <cell r="B11063">
            <v>44624</v>
          </cell>
          <cell r="C11063">
            <v>3771.77</v>
          </cell>
        </row>
        <row r="11064">
          <cell r="B11064">
            <v>44625</v>
          </cell>
          <cell r="C11064">
            <v>3806.11</v>
          </cell>
        </row>
        <row r="11065">
          <cell r="B11065">
            <v>44626</v>
          </cell>
          <cell r="C11065">
            <v>3806.11</v>
          </cell>
        </row>
        <row r="11066">
          <cell r="B11066">
            <v>44627</v>
          </cell>
          <cell r="C11066">
            <v>3806.11</v>
          </cell>
        </row>
        <row r="11067">
          <cell r="B11067">
            <v>44628</v>
          </cell>
          <cell r="C11067">
            <v>3813.41</v>
          </cell>
        </row>
        <row r="11068">
          <cell r="B11068">
            <v>44629</v>
          </cell>
          <cell r="C11068">
            <v>3787.18</v>
          </cell>
        </row>
        <row r="11069">
          <cell r="B11069">
            <v>44630</v>
          </cell>
          <cell r="C11069">
            <v>3746.43</v>
          </cell>
        </row>
        <row r="11070">
          <cell r="B11070">
            <v>44631</v>
          </cell>
          <cell r="C11070">
            <v>3786</v>
          </cell>
        </row>
        <row r="11071">
          <cell r="B11071">
            <v>44632</v>
          </cell>
          <cell r="C11071">
            <v>3827.64</v>
          </cell>
        </row>
        <row r="11072">
          <cell r="B11072">
            <v>44633</v>
          </cell>
          <cell r="C11072">
            <v>3827.64</v>
          </cell>
        </row>
        <row r="11073">
          <cell r="B11073">
            <v>44634</v>
          </cell>
          <cell r="C11073">
            <v>3827.64</v>
          </cell>
        </row>
        <row r="11074">
          <cell r="B11074">
            <v>44635</v>
          </cell>
          <cell r="C11074">
            <v>3800.85</v>
          </cell>
        </row>
        <row r="11075">
          <cell r="B11075">
            <v>44636</v>
          </cell>
          <cell r="C11075">
            <v>3836.56</v>
          </cell>
        </row>
        <row r="11076">
          <cell r="B11076">
            <v>44637</v>
          </cell>
          <cell r="C11076">
            <v>3826.89</v>
          </cell>
        </row>
        <row r="11077">
          <cell r="B11077">
            <v>44638</v>
          </cell>
          <cell r="C11077">
            <v>3816.43</v>
          </cell>
        </row>
        <row r="11078">
          <cell r="B11078">
            <v>44639</v>
          </cell>
          <cell r="C11078">
            <v>3820.67</v>
          </cell>
        </row>
        <row r="11079">
          <cell r="B11079">
            <v>44640</v>
          </cell>
          <cell r="C11079">
            <v>3820.67</v>
          </cell>
        </row>
        <row r="11080">
          <cell r="B11080">
            <v>44641</v>
          </cell>
          <cell r="C11080">
            <v>3820.67</v>
          </cell>
        </row>
        <row r="11081">
          <cell r="B11081">
            <v>44642</v>
          </cell>
          <cell r="C11081">
            <v>3820.67</v>
          </cell>
        </row>
        <row r="11082">
          <cell r="B11082">
            <v>44643</v>
          </cell>
          <cell r="C11082">
            <v>3765.67</v>
          </cell>
        </row>
        <row r="11083">
          <cell r="B11083">
            <v>44644</v>
          </cell>
          <cell r="C11083">
            <v>3756.64</v>
          </cell>
        </row>
        <row r="11084">
          <cell r="B11084">
            <v>44645</v>
          </cell>
          <cell r="C11084">
            <v>3798.9</v>
          </cell>
        </row>
        <row r="11085">
          <cell r="B11085">
            <v>44646</v>
          </cell>
          <cell r="C11085">
            <v>3785.66</v>
          </cell>
        </row>
        <row r="11086">
          <cell r="B11086">
            <v>44647</v>
          </cell>
          <cell r="C11086">
            <v>3785.66</v>
          </cell>
        </row>
        <row r="11087">
          <cell r="B11087">
            <v>44648</v>
          </cell>
          <cell r="C11087">
            <v>3785.66</v>
          </cell>
        </row>
        <row r="11088">
          <cell r="B11088">
            <v>44649</v>
          </cell>
          <cell r="C11088">
            <v>3785.7</v>
          </cell>
        </row>
        <row r="11089">
          <cell r="B11089">
            <v>44650</v>
          </cell>
          <cell r="C11089">
            <v>3765.96</v>
          </cell>
        </row>
        <row r="11090">
          <cell r="B11090">
            <v>44651</v>
          </cell>
          <cell r="C11090">
            <v>3748.15</v>
          </cell>
        </row>
        <row r="11091">
          <cell r="B11091">
            <v>44652</v>
          </cell>
          <cell r="C11091">
            <v>3756.03</v>
          </cell>
        </row>
        <row r="11092">
          <cell r="B11092">
            <v>44653</v>
          </cell>
          <cell r="C11092">
            <v>3774.79</v>
          </cell>
        </row>
        <row r="11093">
          <cell r="B11093">
            <v>44654</v>
          </cell>
          <cell r="C11093">
            <v>3774.79</v>
          </cell>
        </row>
        <row r="11094">
          <cell r="B11094">
            <v>44655</v>
          </cell>
          <cell r="C11094">
            <v>3774.79</v>
          </cell>
        </row>
        <row r="11095">
          <cell r="B11095">
            <v>44656</v>
          </cell>
          <cell r="C11095">
            <v>3706.95</v>
          </cell>
        </row>
        <row r="11096">
          <cell r="B11096">
            <v>44657</v>
          </cell>
          <cell r="C11096">
            <v>3723.79</v>
          </cell>
        </row>
        <row r="11097">
          <cell r="B11097">
            <v>44658</v>
          </cell>
          <cell r="C11097">
            <v>3746.51</v>
          </cell>
        </row>
        <row r="11098">
          <cell r="B11098">
            <v>44659</v>
          </cell>
          <cell r="C11098">
            <v>3771.83</v>
          </cell>
        </row>
        <row r="11099">
          <cell r="B11099">
            <v>44660</v>
          </cell>
          <cell r="C11099">
            <v>3777.41</v>
          </cell>
        </row>
        <row r="11100">
          <cell r="B11100">
            <v>44661</v>
          </cell>
          <cell r="C11100">
            <v>3777.41</v>
          </cell>
        </row>
        <row r="11101">
          <cell r="B11101">
            <v>44662</v>
          </cell>
          <cell r="C11101">
            <v>3777.41</v>
          </cell>
        </row>
        <row r="11102">
          <cell r="B11102">
            <v>44663</v>
          </cell>
          <cell r="C11102">
            <v>3744.16</v>
          </cell>
        </row>
        <row r="11103">
          <cell r="B11103">
            <v>44664</v>
          </cell>
          <cell r="C11103">
            <v>3736.7</v>
          </cell>
        </row>
        <row r="11104">
          <cell r="B11104">
            <v>44665</v>
          </cell>
          <cell r="C11104">
            <v>3737.32</v>
          </cell>
        </row>
        <row r="11105">
          <cell r="B11105">
            <v>44666</v>
          </cell>
          <cell r="C11105">
            <v>3737.32</v>
          </cell>
        </row>
        <row r="11106">
          <cell r="B11106">
            <v>44667</v>
          </cell>
          <cell r="C11106">
            <v>3737.32</v>
          </cell>
        </row>
        <row r="11107">
          <cell r="B11107">
            <v>44668</v>
          </cell>
          <cell r="C11107">
            <v>3737.32</v>
          </cell>
        </row>
        <row r="11108">
          <cell r="B11108">
            <v>44669</v>
          </cell>
          <cell r="C11108">
            <v>3737.32</v>
          </cell>
        </row>
        <row r="11109">
          <cell r="B11109">
            <v>44670</v>
          </cell>
          <cell r="C11109">
            <v>3731.31</v>
          </cell>
        </row>
        <row r="11110">
          <cell r="B11110">
            <v>44671</v>
          </cell>
          <cell r="C11110">
            <v>3755.85</v>
          </cell>
        </row>
        <row r="11111">
          <cell r="B11111">
            <v>44672</v>
          </cell>
          <cell r="C11111">
            <v>3758.65</v>
          </cell>
        </row>
        <row r="11112">
          <cell r="B11112">
            <v>44673</v>
          </cell>
          <cell r="C11112">
            <v>3759.54</v>
          </cell>
        </row>
        <row r="11113">
          <cell r="B11113">
            <v>44674</v>
          </cell>
          <cell r="C11113">
            <v>3819.07</v>
          </cell>
        </row>
        <row r="11114">
          <cell r="B11114">
            <v>44675</v>
          </cell>
          <cell r="C11114">
            <v>3819.07</v>
          </cell>
        </row>
        <row r="11115">
          <cell r="B11115">
            <v>44676</v>
          </cell>
          <cell r="C11115">
            <v>3819.07</v>
          </cell>
        </row>
        <row r="11116">
          <cell r="B11116">
            <v>44677</v>
          </cell>
          <cell r="C11116">
            <v>3931.74</v>
          </cell>
        </row>
        <row r="11117">
          <cell r="B11117">
            <v>44678</v>
          </cell>
          <cell r="C11117">
            <v>3947.63</v>
          </cell>
        </row>
        <row r="11118">
          <cell r="B11118">
            <v>44679</v>
          </cell>
          <cell r="C11118">
            <v>3967.32</v>
          </cell>
        </row>
        <row r="11119">
          <cell r="B11119">
            <v>44680</v>
          </cell>
          <cell r="C11119">
            <v>3984.77</v>
          </cell>
        </row>
        <row r="11120">
          <cell r="B11120">
            <v>44681</v>
          </cell>
          <cell r="C11120">
            <v>3966.27</v>
          </cell>
        </row>
        <row r="11121">
          <cell r="B11121">
            <v>44682</v>
          </cell>
          <cell r="C11121">
            <v>3966.27</v>
          </cell>
        </row>
        <row r="11122">
          <cell r="B11122">
            <v>44683</v>
          </cell>
          <cell r="C11122">
            <v>3966.27</v>
          </cell>
        </row>
        <row r="11123">
          <cell r="B11123">
            <v>44684</v>
          </cell>
          <cell r="C11123">
            <v>4004.07</v>
          </cell>
        </row>
        <row r="11124">
          <cell r="B11124">
            <v>44685</v>
          </cell>
          <cell r="C11124">
            <v>4016.34</v>
          </cell>
        </row>
        <row r="11125">
          <cell r="B11125">
            <v>44686</v>
          </cell>
          <cell r="C11125">
            <v>4056.41</v>
          </cell>
        </row>
        <row r="11126">
          <cell r="B11126">
            <v>44687</v>
          </cell>
          <cell r="C11126">
            <v>4086.08</v>
          </cell>
        </row>
        <row r="11127">
          <cell r="B11127">
            <v>44688</v>
          </cell>
          <cell r="C11127">
            <v>4053.93</v>
          </cell>
        </row>
        <row r="11128">
          <cell r="B11128">
            <v>44689</v>
          </cell>
          <cell r="C11128">
            <v>4053.93</v>
          </cell>
        </row>
        <row r="11129">
          <cell r="B11129">
            <v>44690</v>
          </cell>
          <cell r="C11129">
            <v>4053.93</v>
          </cell>
        </row>
        <row r="11130">
          <cell r="B11130">
            <v>44691</v>
          </cell>
          <cell r="C11130">
            <v>4085.76</v>
          </cell>
        </row>
        <row r="11131">
          <cell r="B11131">
            <v>44692</v>
          </cell>
          <cell r="C11131">
            <v>4086.71</v>
          </cell>
        </row>
        <row r="11132">
          <cell r="B11132">
            <v>44693</v>
          </cell>
          <cell r="C11132">
            <v>4080.32</v>
          </cell>
        </row>
        <row r="11133">
          <cell r="B11133">
            <v>44694</v>
          </cell>
          <cell r="C11133">
            <v>4109.71</v>
          </cell>
        </row>
        <row r="11134">
          <cell r="B11134">
            <v>44695</v>
          </cell>
          <cell r="C11134">
            <v>4110.53</v>
          </cell>
        </row>
        <row r="11135">
          <cell r="B11135">
            <v>44696</v>
          </cell>
          <cell r="C11135">
            <v>4110.53</v>
          </cell>
        </row>
        <row r="11136">
          <cell r="B11136">
            <v>44697</v>
          </cell>
          <cell r="C11136">
            <v>4110.53</v>
          </cell>
        </row>
        <row r="11137">
          <cell r="B11137">
            <v>44698</v>
          </cell>
          <cell r="C11137">
            <v>4070.25</v>
          </cell>
        </row>
        <row r="11138">
          <cell r="B11138">
            <v>44699</v>
          </cell>
          <cell r="C11138">
            <v>4033.85</v>
          </cell>
        </row>
        <row r="11139">
          <cell r="B11139">
            <v>44700</v>
          </cell>
          <cell r="C11139">
            <v>4054.71</v>
          </cell>
        </row>
        <row r="11140">
          <cell r="B11140">
            <v>44701</v>
          </cell>
          <cell r="C11140">
            <v>4050.88</v>
          </cell>
        </row>
        <row r="11141">
          <cell r="B11141">
            <v>44702</v>
          </cell>
          <cell r="C11141">
            <v>3989.84</v>
          </cell>
        </row>
        <row r="11142">
          <cell r="B11142">
            <v>44703</v>
          </cell>
          <cell r="C11142">
            <v>3989.84</v>
          </cell>
        </row>
        <row r="11143">
          <cell r="B11143">
            <v>44704</v>
          </cell>
          <cell r="C11143">
            <v>3989.84</v>
          </cell>
        </row>
        <row r="11144">
          <cell r="B11144">
            <v>44705</v>
          </cell>
          <cell r="C11144">
            <v>3950.35</v>
          </cell>
        </row>
        <row r="11145">
          <cell r="B11145">
            <v>44706</v>
          </cell>
          <cell r="C11145">
            <v>3971.28</v>
          </cell>
        </row>
        <row r="11146">
          <cell r="B11146">
            <v>44707</v>
          </cell>
          <cell r="C11146">
            <v>3959.05</v>
          </cell>
        </row>
        <row r="11147">
          <cell r="B11147">
            <v>44708</v>
          </cell>
          <cell r="C11147">
            <v>3930.89</v>
          </cell>
        </row>
        <row r="11148">
          <cell r="B11148">
            <v>44709</v>
          </cell>
          <cell r="C11148">
            <v>3912.34</v>
          </cell>
        </row>
        <row r="11149">
          <cell r="B11149">
            <v>44710</v>
          </cell>
          <cell r="C11149">
            <v>3912.34</v>
          </cell>
        </row>
        <row r="11150">
          <cell r="B11150">
            <v>44711</v>
          </cell>
          <cell r="C11150">
            <v>3912.34</v>
          </cell>
        </row>
        <row r="11151">
          <cell r="B11151">
            <v>44712</v>
          </cell>
          <cell r="C11151">
            <v>3912.34</v>
          </cell>
        </row>
        <row r="11152">
          <cell r="B11152">
            <v>44713</v>
          </cell>
          <cell r="C11152">
            <v>3776.52</v>
          </cell>
        </row>
        <row r="11153">
          <cell r="B11153">
            <v>44714</v>
          </cell>
          <cell r="C11153">
            <v>3791.74</v>
          </cell>
        </row>
        <row r="11154">
          <cell r="B11154">
            <v>44715</v>
          </cell>
          <cell r="C11154">
            <v>3784.98</v>
          </cell>
        </row>
        <row r="11155">
          <cell r="B11155">
            <v>44716</v>
          </cell>
          <cell r="C11155">
            <v>3771.63</v>
          </cell>
        </row>
        <row r="11156">
          <cell r="B11156">
            <v>44717</v>
          </cell>
          <cell r="C11156">
            <v>3771.63</v>
          </cell>
        </row>
        <row r="11157">
          <cell r="B11157">
            <v>44718</v>
          </cell>
          <cell r="C11157">
            <v>3771.63</v>
          </cell>
        </row>
        <row r="11158">
          <cell r="B11158">
            <v>44719</v>
          </cell>
          <cell r="C11158">
            <v>3799.5</v>
          </cell>
        </row>
        <row r="11159">
          <cell r="B11159">
            <v>44720</v>
          </cell>
          <cell r="C11159">
            <v>3790.88</v>
          </cell>
        </row>
        <row r="11160">
          <cell r="B11160">
            <v>44721</v>
          </cell>
          <cell r="C11160">
            <v>3782.65</v>
          </cell>
        </row>
        <row r="11161">
          <cell r="B11161">
            <v>44722</v>
          </cell>
          <cell r="C11161">
            <v>3833.34</v>
          </cell>
        </row>
        <row r="11162">
          <cell r="B11162">
            <v>44723</v>
          </cell>
          <cell r="C11162">
            <v>3912.51</v>
          </cell>
        </row>
        <row r="11163">
          <cell r="B11163">
            <v>44724</v>
          </cell>
          <cell r="C11163">
            <v>3912.51</v>
          </cell>
        </row>
        <row r="11164">
          <cell r="B11164">
            <v>44725</v>
          </cell>
          <cell r="C11164">
            <v>3912.51</v>
          </cell>
        </row>
        <row r="11165">
          <cell r="B11165">
            <v>44726</v>
          </cell>
          <cell r="C11165">
            <v>4016.5</v>
          </cell>
        </row>
        <row r="11166">
          <cell r="B11166">
            <v>44727</v>
          </cell>
          <cell r="C11166">
            <v>3979.3</v>
          </cell>
        </row>
        <row r="11167">
          <cell r="B11167">
            <v>44728</v>
          </cell>
          <cell r="C11167">
            <v>3923.96</v>
          </cell>
        </row>
        <row r="11168">
          <cell r="B11168">
            <v>44729</v>
          </cell>
          <cell r="C11168">
            <v>3912.15</v>
          </cell>
        </row>
        <row r="11169">
          <cell r="B11169">
            <v>44730</v>
          </cell>
          <cell r="C11169">
            <v>3905.05</v>
          </cell>
        </row>
        <row r="11170">
          <cell r="B11170">
            <v>44731</v>
          </cell>
          <cell r="C11170">
            <v>3905.05</v>
          </cell>
        </row>
        <row r="11171">
          <cell r="B11171">
            <v>44732</v>
          </cell>
          <cell r="C11171">
            <v>3905.05</v>
          </cell>
        </row>
        <row r="11172">
          <cell r="B11172">
            <v>44733</v>
          </cell>
          <cell r="C11172">
            <v>3905.05</v>
          </cell>
        </row>
        <row r="11173">
          <cell r="B11173">
            <v>44734</v>
          </cell>
          <cell r="C11173">
            <v>4026.92</v>
          </cell>
        </row>
        <row r="11174">
          <cell r="B11174">
            <v>44735</v>
          </cell>
          <cell r="C11174">
            <v>4026.52</v>
          </cell>
        </row>
        <row r="11175">
          <cell r="B11175">
            <v>44736</v>
          </cell>
          <cell r="C11175">
            <v>4068.75</v>
          </cell>
        </row>
        <row r="11176">
          <cell r="B11176">
            <v>44737</v>
          </cell>
          <cell r="C11176">
            <v>4129.87</v>
          </cell>
        </row>
        <row r="11177">
          <cell r="B11177">
            <v>44738</v>
          </cell>
          <cell r="C11177">
            <v>4129.87</v>
          </cell>
        </row>
        <row r="11178">
          <cell r="B11178">
            <v>44739</v>
          </cell>
          <cell r="C11178">
            <v>4129.87</v>
          </cell>
        </row>
        <row r="11179">
          <cell r="B11179">
            <v>44740</v>
          </cell>
          <cell r="C11179">
            <v>4129.87</v>
          </cell>
        </row>
        <row r="11180">
          <cell r="B11180">
            <v>44741</v>
          </cell>
          <cell r="C11180">
            <v>4089.72</v>
          </cell>
        </row>
        <row r="11181">
          <cell r="B11181">
            <v>44742</v>
          </cell>
          <cell r="C11181">
            <v>4127.47</v>
          </cell>
        </row>
        <row r="11182">
          <cell r="B11182">
            <v>44743</v>
          </cell>
          <cell r="C11182">
            <v>4151.21</v>
          </cell>
        </row>
        <row r="11183">
          <cell r="B11183">
            <v>44744</v>
          </cell>
          <cell r="C11183">
            <v>4198.7700000000004</v>
          </cell>
        </row>
        <row r="11184">
          <cell r="B11184">
            <v>44745</v>
          </cell>
          <cell r="C11184">
            <v>4198.7700000000004</v>
          </cell>
        </row>
        <row r="11185">
          <cell r="B11185">
            <v>44746</v>
          </cell>
          <cell r="C11185">
            <v>4198.7700000000004</v>
          </cell>
        </row>
        <row r="11186">
          <cell r="B11186">
            <v>44747</v>
          </cell>
          <cell r="C11186">
            <v>4198.7700000000004</v>
          </cell>
        </row>
        <row r="11187">
          <cell r="B11187">
            <v>44748</v>
          </cell>
          <cell r="C11187">
            <v>4259.8599999999997</v>
          </cell>
        </row>
        <row r="11188">
          <cell r="B11188">
            <v>44749</v>
          </cell>
          <cell r="C11188">
            <v>4348.68</v>
          </cell>
        </row>
        <row r="11189">
          <cell r="B11189">
            <v>44750</v>
          </cell>
          <cell r="C11189">
            <v>4369.7</v>
          </cell>
        </row>
        <row r="11190">
          <cell r="B11190">
            <v>44751</v>
          </cell>
          <cell r="C11190">
            <v>4388.2700000000004</v>
          </cell>
        </row>
        <row r="11191">
          <cell r="B11191">
            <v>44752</v>
          </cell>
          <cell r="C11191">
            <v>4388.2700000000004</v>
          </cell>
        </row>
        <row r="11192">
          <cell r="B11192">
            <v>44753</v>
          </cell>
          <cell r="C11192">
            <v>4388.2700000000004</v>
          </cell>
        </row>
        <row r="11193">
          <cell r="B11193">
            <v>44754</v>
          </cell>
          <cell r="C11193">
            <v>4513.28</v>
          </cell>
        </row>
        <row r="11194">
          <cell r="B11194">
            <v>44755</v>
          </cell>
          <cell r="C11194">
            <v>4627.46</v>
          </cell>
        </row>
        <row r="11195">
          <cell r="B11195">
            <v>44756</v>
          </cell>
          <cell r="C11195">
            <v>4558.05</v>
          </cell>
        </row>
        <row r="11196">
          <cell r="B11196">
            <v>44757</v>
          </cell>
          <cell r="C11196">
            <v>4519.6499999999996</v>
          </cell>
        </row>
        <row r="11197">
          <cell r="B11197">
            <v>44758</v>
          </cell>
          <cell r="C11197">
            <v>4395.63</v>
          </cell>
        </row>
        <row r="11198">
          <cell r="B11198">
            <v>44759</v>
          </cell>
          <cell r="C11198">
            <v>4395.63</v>
          </cell>
        </row>
        <row r="11199">
          <cell r="B11199">
            <v>44760</v>
          </cell>
          <cell r="C11199">
            <v>4395.63</v>
          </cell>
        </row>
        <row r="11200">
          <cell r="B11200">
            <v>44761</v>
          </cell>
          <cell r="C11200">
            <v>4315.41</v>
          </cell>
        </row>
        <row r="11201">
          <cell r="B11201">
            <v>44762</v>
          </cell>
          <cell r="C11201">
            <v>4303.34</v>
          </cell>
        </row>
        <row r="11202">
          <cell r="B11202">
            <v>44763</v>
          </cell>
          <cell r="C11202">
            <v>4303.34</v>
          </cell>
        </row>
        <row r="11203">
          <cell r="B11203">
            <v>44764</v>
          </cell>
          <cell r="C11203">
            <v>4410.1400000000003</v>
          </cell>
        </row>
        <row r="11204">
          <cell r="B11204">
            <v>44765</v>
          </cell>
          <cell r="C11204">
            <v>4423.8599999999997</v>
          </cell>
        </row>
        <row r="11205">
          <cell r="B11205">
            <v>44766</v>
          </cell>
          <cell r="C11205">
            <v>4423.8599999999997</v>
          </cell>
        </row>
        <row r="11206">
          <cell r="B11206">
            <v>44767</v>
          </cell>
          <cell r="C11206">
            <v>4423.8599999999997</v>
          </cell>
        </row>
        <row r="11207">
          <cell r="B11207">
            <v>44768</v>
          </cell>
          <cell r="C11207">
            <v>4461.63</v>
          </cell>
        </row>
        <row r="11208">
          <cell r="B11208">
            <v>44769</v>
          </cell>
          <cell r="C11208">
            <v>4445.01</v>
          </cell>
        </row>
        <row r="11209">
          <cell r="B11209">
            <v>44770</v>
          </cell>
          <cell r="C11209">
            <v>4420.75</v>
          </cell>
        </row>
        <row r="11210">
          <cell r="B11210">
            <v>44771</v>
          </cell>
          <cell r="C11210">
            <v>4375.51</v>
          </cell>
        </row>
        <row r="11211">
          <cell r="B11211">
            <v>44772</v>
          </cell>
          <cell r="C11211">
            <v>4300.3</v>
          </cell>
        </row>
        <row r="11212">
          <cell r="B11212">
            <v>44773</v>
          </cell>
          <cell r="C11212">
            <v>4300.3</v>
          </cell>
        </row>
        <row r="11213">
          <cell r="B11213">
            <v>44774</v>
          </cell>
          <cell r="C11213">
            <v>4300.3</v>
          </cell>
        </row>
        <row r="11214">
          <cell r="B11214">
            <v>44775</v>
          </cell>
          <cell r="C11214">
            <v>4245.99</v>
          </cell>
        </row>
        <row r="11215">
          <cell r="B11215">
            <v>44776</v>
          </cell>
          <cell r="C11215">
            <v>4313.3</v>
          </cell>
        </row>
        <row r="11216">
          <cell r="B11216">
            <v>44777</v>
          </cell>
          <cell r="C11216">
            <v>4331.1499999999996</v>
          </cell>
        </row>
        <row r="11217">
          <cell r="B11217">
            <v>44778</v>
          </cell>
          <cell r="C11217">
            <v>4268.3</v>
          </cell>
        </row>
        <row r="11218">
          <cell r="B11218">
            <v>44779</v>
          </cell>
          <cell r="C11218">
            <v>4337.28</v>
          </cell>
        </row>
        <row r="11219">
          <cell r="B11219">
            <v>44780</v>
          </cell>
          <cell r="C11219">
            <v>4337.28</v>
          </cell>
        </row>
        <row r="11220">
          <cell r="B11220">
            <v>44781</v>
          </cell>
          <cell r="C11220">
            <v>4337.28</v>
          </cell>
        </row>
        <row r="11221">
          <cell r="B11221">
            <v>44782</v>
          </cell>
          <cell r="C11221">
            <v>4307.09</v>
          </cell>
        </row>
        <row r="11222">
          <cell r="B11222">
            <v>44783</v>
          </cell>
          <cell r="C11222">
            <v>4309.6899999999996</v>
          </cell>
        </row>
        <row r="11223">
          <cell r="B11223">
            <v>44784</v>
          </cell>
          <cell r="C11223">
            <v>4273.82</v>
          </cell>
        </row>
        <row r="11224">
          <cell r="B11224">
            <v>44785</v>
          </cell>
          <cell r="C11224">
            <v>4231.45</v>
          </cell>
        </row>
        <row r="11225">
          <cell r="B11225">
            <v>44786</v>
          </cell>
          <cell r="C11225">
            <v>4185.49</v>
          </cell>
        </row>
        <row r="11226">
          <cell r="B11226">
            <v>44787</v>
          </cell>
          <cell r="C11226">
            <v>4185.49</v>
          </cell>
        </row>
        <row r="11227">
          <cell r="B11227">
            <v>44788</v>
          </cell>
          <cell r="C11227">
            <v>4185.49</v>
          </cell>
        </row>
        <row r="11228">
          <cell r="B11228">
            <v>44789</v>
          </cell>
          <cell r="C11228">
            <v>4185.49</v>
          </cell>
        </row>
        <row r="11229">
          <cell r="B11229">
            <v>44790</v>
          </cell>
          <cell r="C11229">
            <v>4218.4799999999996</v>
          </cell>
        </row>
        <row r="11230">
          <cell r="B11230">
            <v>44791</v>
          </cell>
          <cell r="C11230">
            <v>4316.47</v>
          </cell>
        </row>
        <row r="11231">
          <cell r="B11231">
            <v>44792</v>
          </cell>
          <cell r="C11231">
            <v>4413.8599999999997</v>
          </cell>
        </row>
        <row r="11232">
          <cell r="B11232">
            <v>44793</v>
          </cell>
          <cell r="C11232">
            <v>4400.25</v>
          </cell>
        </row>
        <row r="11233">
          <cell r="B11233">
            <v>44794</v>
          </cell>
          <cell r="C11233">
            <v>4400.25</v>
          </cell>
        </row>
        <row r="11234">
          <cell r="B11234">
            <v>44795</v>
          </cell>
          <cell r="C11234">
            <v>4400.25</v>
          </cell>
        </row>
        <row r="11235">
          <cell r="B11235">
            <v>44796</v>
          </cell>
          <cell r="C11235">
            <v>4399.16</v>
          </cell>
        </row>
        <row r="11236">
          <cell r="B11236">
            <v>44797</v>
          </cell>
          <cell r="C11236">
            <v>4374.45</v>
          </cell>
        </row>
        <row r="11237">
          <cell r="B11237">
            <v>44798</v>
          </cell>
          <cell r="C11237">
            <v>4380.1899999999996</v>
          </cell>
        </row>
        <row r="11238">
          <cell r="B11238">
            <v>44799</v>
          </cell>
          <cell r="C11238">
            <v>4407.95</v>
          </cell>
        </row>
        <row r="11239">
          <cell r="B11239">
            <v>44800</v>
          </cell>
          <cell r="C11239">
            <v>4388.0200000000004</v>
          </cell>
        </row>
        <row r="11240">
          <cell r="B11240">
            <v>44801</v>
          </cell>
          <cell r="C11240">
            <v>4388.0200000000004</v>
          </cell>
        </row>
        <row r="11241">
          <cell r="B11241">
            <v>44802</v>
          </cell>
          <cell r="C11241">
            <v>4388.0200000000004</v>
          </cell>
        </row>
        <row r="11242">
          <cell r="B11242">
            <v>44803</v>
          </cell>
          <cell r="C11242">
            <v>4386.13</v>
          </cell>
        </row>
        <row r="11243">
          <cell r="B11243">
            <v>44804</v>
          </cell>
          <cell r="C11243">
            <v>4400.16</v>
          </cell>
        </row>
        <row r="11244">
          <cell r="B11244">
            <v>44805</v>
          </cell>
          <cell r="C11244">
            <v>4422.7700000000004</v>
          </cell>
        </row>
        <row r="11245">
          <cell r="B11245">
            <v>44806</v>
          </cell>
          <cell r="C11245">
            <v>4467.03</v>
          </cell>
        </row>
        <row r="11246">
          <cell r="B11246">
            <v>44807</v>
          </cell>
          <cell r="C11246">
            <v>4466.7299999999996</v>
          </cell>
        </row>
        <row r="11247">
          <cell r="B11247">
            <v>44808</v>
          </cell>
          <cell r="C11247">
            <v>4466.7299999999996</v>
          </cell>
        </row>
        <row r="11248">
          <cell r="B11248">
            <v>44809</v>
          </cell>
          <cell r="C11248">
            <v>4466.7299999999996</v>
          </cell>
        </row>
        <row r="11249">
          <cell r="B11249">
            <v>44810</v>
          </cell>
          <cell r="C11249">
            <v>4466.7299999999996</v>
          </cell>
        </row>
        <row r="11250">
          <cell r="B11250">
            <v>44811</v>
          </cell>
          <cell r="C11250">
            <v>4480.1000000000004</v>
          </cell>
        </row>
        <row r="11251">
          <cell r="B11251">
            <v>44812</v>
          </cell>
          <cell r="C11251">
            <v>4446.3599999999997</v>
          </cell>
        </row>
        <row r="11252">
          <cell r="B11252">
            <v>44813</v>
          </cell>
          <cell r="C11252">
            <v>4396.6899999999996</v>
          </cell>
        </row>
        <row r="11253">
          <cell r="B11253">
            <v>44814</v>
          </cell>
          <cell r="C11253">
            <v>4365.32</v>
          </cell>
        </row>
        <row r="11254">
          <cell r="B11254">
            <v>44815</v>
          </cell>
          <cell r="C11254">
            <v>4365.32</v>
          </cell>
        </row>
        <row r="11255">
          <cell r="B11255">
            <v>44816</v>
          </cell>
          <cell r="C11255">
            <v>4365.32</v>
          </cell>
        </row>
        <row r="11256">
          <cell r="B11256">
            <v>44817</v>
          </cell>
          <cell r="C11256">
            <v>4346.91</v>
          </cell>
        </row>
        <row r="11257">
          <cell r="B11257">
            <v>44818</v>
          </cell>
          <cell r="C11257">
            <v>4413.8900000000003</v>
          </cell>
        </row>
        <row r="11258">
          <cell r="B11258">
            <v>44819</v>
          </cell>
          <cell r="C11258">
            <v>4389.8</v>
          </cell>
        </row>
        <row r="11259">
          <cell r="B11259">
            <v>44820</v>
          </cell>
          <cell r="C11259">
            <v>4404.6400000000003</v>
          </cell>
        </row>
        <row r="11260">
          <cell r="B11260">
            <v>44821</v>
          </cell>
          <cell r="C11260">
            <v>4435.84</v>
          </cell>
        </row>
        <row r="11261">
          <cell r="B11261">
            <v>44822</v>
          </cell>
          <cell r="C11261">
            <v>4435.84</v>
          </cell>
        </row>
        <row r="11262">
          <cell r="B11262">
            <v>44823</v>
          </cell>
          <cell r="C11262">
            <v>4435.84</v>
          </cell>
        </row>
        <row r="11263">
          <cell r="B11263">
            <v>44824</v>
          </cell>
          <cell r="C11263">
            <v>4415.1099999999997</v>
          </cell>
        </row>
        <row r="11264">
          <cell r="B11264">
            <v>44825</v>
          </cell>
          <cell r="C11264">
            <v>4420.38</v>
          </cell>
        </row>
        <row r="11265">
          <cell r="B11265">
            <v>44826</v>
          </cell>
          <cell r="C11265">
            <v>4403.82</v>
          </cell>
        </row>
        <row r="11266">
          <cell r="B11266">
            <v>44827</v>
          </cell>
          <cell r="C11266">
            <v>4379.8</v>
          </cell>
        </row>
        <row r="11267">
          <cell r="B11267">
            <v>44828</v>
          </cell>
          <cell r="C11267">
            <v>4426.47</v>
          </cell>
        </row>
        <row r="11268">
          <cell r="B11268">
            <v>44829</v>
          </cell>
          <cell r="C11268">
            <v>4426.47</v>
          </cell>
        </row>
        <row r="11269">
          <cell r="B11269">
            <v>44830</v>
          </cell>
          <cell r="C11269">
            <v>4426.47</v>
          </cell>
        </row>
        <row r="11270">
          <cell r="B11270">
            <v>44831</v>
          </cell>
          <cell r="C11270">
            <v>4496.99</v>
          </cell>
        </row>
        <row r="11271">
          <cell r="B11271">
            <v>44832</v>
          </cell>
          <cell r="C11271">
            <v>4556.42</v>
          </cell>
        </row>
        <row r="11272">
          <cell r="B11272">
            <v>44833</v>
          </cell>
          <cell r="C11272">
            <v>4486.9399999999996</v>
          </cell>
        </row>
        <row r="11273">
          <cell r="B11273">
            <v>44834</v>
          </cell>
          <cell r="C11273">
            <v>4532.07</v>
          </cell>
        </row>
        <row r="11274">
          <cell r="B11274">
            <v>44835</v>
          </cell>
          <cell r="C11274">
            <v>4590.54</v>
          </cell>
        </row>
        <row r="11275">
          <cell r="B11275">
            <v>44836</v>
          </cell>
          <cell r="C11275">
            <v>4590.54</v>
          </cell>
        </row>
        <row r="11276">
          <cell r="B11276">
            <v>44837</v>
          </cell>
          <cell r="C11276">
            <v>4590.54</v>
          </cell>
        </row>
        <row r="11277">
          <cell r="B11277">
            <v>44838</v>
          </cell>
          <cell r="C11277">
            <v>4545.66</v>
          </cell>
        </row>
        <row r="11278">
          <cell r="B11278">
            <v>44839</v>
          </cell>
          <cell r="C11278">
            <v>4484.74</v>
          </cell>
        </row>
        <row r="11279">
          <cell r="B11279">
            <v>44840</v>
          </cell>
          <cell r="C11279">
            <v>4548.8900000000003</v>
          </cell>
        </row>
        <row r="11280">
          <cell r="B11280">
            <v>44841</v>
          </cell>
          <cell r="C11280">
            <v>4627.6099999999997</v>
          </cell>
        </row>
        <row r="11281">
          <cell r="B11281">
            <v>44842</v>
          </cell>
          <cell r="C11281">
            <v>4605.29</v>
          </cell>
        </row>
        <row r="11282">
          <cell r="B11282">
            <v>44843</v>
          </cell>
          <cell r="C11282">
            <v>4605.29</v>
          </cell>
        </row>
        <row r="11283">
          <cell r="B11283">
            <v>44844</v>
          </cell>
          <cell r="C11283">
            <v>4605.29</v>
          </cell>
        </row>
        <row r="11284">
          <cell r="B11284">
            <v>44845</v>
          </cell>
          <cell r="C11284">
            <v>4605.29</v>
          </cell>
        </row>
        <row r="11285">
          <cell r="B11285">
            <v>44846</v>
          </cell>
          <cell r="C11285">
            <v>4611.88</v>
          </cell>
        </row>
        <row r="11286">
          <cell r="B11286">
            <v>44847</v>
          </cell>
          <cell r="C11286">
            <v>4611.18</v>
          </cell>
        </row>
        <row r="11287">
          <cell r="B11287">
            <v>44848</v>
          </cell>
          <cell r="C11287">
            <v>4619.78</v>
          </cell>
        </row>
        <row r="11288">
          <cell r="B11288">
            <v>44849</v>
          </cell>
          <cell r="C11288">
            <v>4636.83</v>
          </cell>
        </row>
        <row r="11289">
          <cell r="B11289">
            <v>44850</v>
          </cell>
          <cell r="C11289">
            <v>4636.83</v>
          </cell>
        </row>
        <row r="11290">
          <cell r="B11290">
            <v>44851</v>
          </cell>
          <cell r="C11290">
            <v>4636.83</v>
          </cell>
        </row>
        <row r="11291">
          <cell r="B11291">
            <v>44852</v>
          </cell>
          <cell r="C11291">
            <v>4636.83</v>
          </cell>
        </row>
        <row r="11292">
          <cell r="B11292">
            <v>44853</v>
          </cell>
          <cell r="C11292">
            <v>4744.04</v>
          </cell>
        </row>
        <row r="11293">
          <cell r="B11293">
            <v>44854</v>
          </cell>
          <cell r="C11293">
            <v>4815.09</v>
          </cell>
        </row>
        <row r="11294">
          <cell r="B11294">
            <v>44855</v>
          </cell>
          <cell r="C11294">
            <v>4885.5</v>
          </cell>
        </row>
        <row r="11295">
          <cell r="B11295">
            <v>44856</v>
          </cell>
          <cell r="C11295">
            <v>4913.24</v>
          </cell>
        </row>
        <row r="11296">
          <cell r="B11296">
            <v>44857</v>
          </cell>
          <cell r="C11296">
            <v>4913.24</v>
          </cell>
        </row>
        <row r="11297">
          <cell r="B11297">
            <v>44858</v>
          </cell>
          <cell r="C11297">
            <v>4913.24</v>
          </cell>
        </row>
        <row r="11298">
          <cell r="B11298">
            <v>44859</v>
          </cell>
          <cell r="C11298">
            <v>4968.9399999999996</v>
          </cell>
        </row>
        <row r="11299">
          <cell r="B11299">
            <v>44860</v>
          </cell>
          <cell r="C11299">
            <v>4948.1400000000003</v>
          </cell>
        </row>
        <row r="11300">
          <cell r="B11300">
            <v>44861</v>
          </cell>
          <cell r="C11300">
            <v>4895.29</v>
          </cell>
        </row>
        <row r="11301">
          <cell r="B11301">
            <v>44862</v>
          </cell>
          <cell r="C11301">
            <v>4821.92</v>
          </cell>
        </row>
        <row r="11302">
          <cell r="B11302">
            <v>44863</v>
          </cell>
          <cell r="C11302">
            <v>4819.42</v>
          </cell>
        </row>
        <row r="11303">
          <cell r="B11303">
            <v>44864</v>
          </cell>
          <cell r="C11303">
            <v>4819.42</v>
          </cell>
        </row>
        <row r="11304">
          <cell r="B11304">
            <v>44865</v>
          </cell>
          <cell r="C11304">
            <v>4819.42</v>
          </cell>
        </row>
        <row r="11305">
          <cell r="B11305">
            <v>44866</v>
          </cell>
          <cell r="C11305">
            <v>4898.74</v>
          </cell>
        </row>
        <row r="11306">
          <cell r="B11306">
            <v>44867</v>
          </cell>
          <cell r="C11306">
            <v>4975.58</v>
          </cell>
        </row>
        <row r="11307">
          <cell r="B11307">
            <v>44868</v>
          </cell>
          <cell r="C11307">
            <v>5015.84</v>
          </cell>
        </row>
        <row r="11308">
          <cell r="B11308">
            <v>44869</v>
          </cell>
          <cell r="C11308">
            <v>5058.0200000000004</v>
          </cell>
        </row>
        <row r="11309">
          <cell r="B11309">
            <v>44870</v>
          </cell>
          <cell r="C11309">
            <v>5061.21</v>
          </cell>
        </row>
        <row r="11310">
          <cell r="B11310">
            <v>44871</v>
          </cell>
          <cell r="C11310">
            <v>5061.21</v>
          </cell>
        </row>
        <row r="11311">
          <cell r="B11311">
            <v>44872</v>
          </cell>
          <cell r="C11311">
            <v>5061.21</v>
          </cell>
        </row>
        <row r="11312">
          <cell r="B11312">
            <v>44873</v>
          </cell>
          <cell r="C11312">
            <v>5061.21</v>
          </cell>
        </row>
        <row r="11313">
          <cell r="B11313">
            <v>44874</v>
          </cell>
          <cell r="C11313">
            <v>5013.2</v>
          </cell>
        </row>
        <row r="11314">
          <cell r="B11314">
            <v>44875</v>
          </cell>
          <cell r="C11314">
            <v>4914.71</v>
          </cell>
        </row>
        <row r="11315">
          <cell r="B11315">
            <v>44876</v>
          </cell>
          <cell r="C11315">
            <v>4806.07</v>
          </cell>
        </row>
        <row r="11316">
          <cell r="B11316">
            <v>44877</v>
          </cell>
          <cell r="C11316">
            <v>4806.07</v>
          </cell>
        </row>
        <row r="11317">
          <cell r="B11317">
            <v>44878</v>
          </cell>
          <cell r="C11317">
            <v>4806.07</v>
          </cell>
        </row>
        <row r="11318">
          <cell r="B11318">
            <v>44879</v>
          </cell>
          <cell r="C11318">
            <v>4806.07</v>
          </cell>
        </row>
        <row r="11319">
          <cell r="B11319">
            <v>44880</v>
          </cell>
          <cell r="C11319">
            <v>4806.07</v>
          </cell>
        </row>
        <row r="11320">
          <cell r="B11320">
            <v>44881</v>
          </cell>
          <cell r="C11320">
            <v>4801.0600000000004</v>
          </cell>
        </row>
        <row r="11321">
          <cell r="B11321">
            <v>44882</v>
          </cell>
          <cell r="C11321">
            <v>4922.7</v>
          </cell>
        </row>
        <row r="11322">
          <cell r="B11322">
            <v>44883</v>
          </cell>
          <cell r="C11322">
            <v>5022.03</v>
          </cell>
        </row>
        <row r="11323">
          <cell r="B11323">
            <v>44884</v>
          </cell>
          <cell r="C11323">
            <v>4994.6099999999997</v>
          </cell>
        </row>
        <row r="11324">
          <cell r="B11324">
            <v>44885</v>
          </cell>
          <cell r="C11324">
            <v>4994.6099999999997</v>
          </cell>
        </row>
        <row r="11325">
          <cell r="B11325">
            <v>44886</v>
          </cell>
          <cell r="C11325">
            <v>4994.6099999999997</v>
          </cell>
        </row>
        <row r="11326">
          <cell r="B11326">
            <v>44887</v>
          </cell>
          <cell r="C11326">
            <v>4958.42</v>
          </cell>
        </row>
        <row r="11327">
          <cell r="B11327">
            <v>44888</v>
          </cell>
          <cell r="C11327">
            <v>4914.34</v>
          </cell>
        </row>
        <row r="11328">
          <cell r="B11328">
            <v>44889</v>
          </cell>
          <cell r="C11328">
            <v>4875.91</v>
          </cell>
        </row>
        <row r="11329">
          <cell r="B11329">
            <v>44890</v>
          </cell>
          <cell r="C11329">
            <v>4875.91</v>
          </cell>
        </row>
        <row r="11330">
          <cell r="B11330">
            <v>44891</v>
          </cell>
          <cell r="C11330">
            <v>4881.41</v>
          </cell>
        </row>
        <row r="11331">
          <cell r="B11331">
            <v>44892</v>
          </cell>
          <cell r="C11331">
            <v>4881.41</v>
          </cell>
        </row>
        <row r="11332">
          <cell r="B11332">
            <v>44893</v>
          </cell>
          <cell r="C11332">
            <v>4881.41</v>
          </cell>
        </row>
        <row r="11333">
          <cell r="B11333">
            <v>44894</v>
          </cell>
          <cell r="C11333">
            <v>4840.6000000000004</v>
          </cell>
        </row>
        <row r="11334">
          <cell r="B11334">
            <v>44895</v>
          </cell>
          <cell r="C11334">
            <v>4809.51</v>
          </cell>
        </row>
        <row r="11335">
          <cell r="B11335">
            <v>44896</v>
          </cell>
          <cell r="C11335">
            <v>4815.59</v>
          </cell>
        </row>
        <row r="11336">
          <cell r="B11336">
            <v>44897</v>
          </cell>
          <cell r="C11336">
            <v>4779.0600000000004</v>
          </cell>
        </row>
        <row r="11337">
          <cell r="B11337">
            <v>44898</v>
          </cell>
          <cell r="C11337">
            <v>4767.1899999999996</v>
          </cell>
        </row>
        <row r="11338">
          <cell r="B11338">
            <v>44899</v>
          </cell>
          <cell r="C11338">
            <v>4767.1899999999996</v>
          </cell>
        </row>
        <row r="11339">
          <cell r="B11339">
            <v>44900</v>
          </cell>
          <cell r="C11339">
            <v>4767.1899999999996</v>
          </cell>
        </row>
        <row r="11340">
          <cell r="B11340">
            <v>44901</v>
          </cell>
          <cell r="C11340">
            <v>4812.37</v>
          </cell>
        </row>
        <row r="11341">
          <cell r="B11341">
            <v>44902</v>
          </cell>
          <cell r="C11341">
            <v>4818.32</v>
          </cell>
        </row>
        <row r="11342">
          <cell r="B11342">
            <v>44903</v>
          </cell>
          <cell r="C11342">
            <v>4825.83</v>
          </cell>
        </row>
        <row r="11343">
          <cell r="B11343">
            <v>44904</v>
          </cell>
          <cell r="C11343">
            <v>4825.83</v>
          </cell>
        </row>
        <row r="11344">
          <cell r="B11344">
            <v>44905</v>
          </cell>
          <cell r="C11344">
            <v>4815.99</v>
          </cell>
        </row>
        <row r="11345">
          <cell r="B11345">
            <v>44906</v>
          </cell>
          <cell r="C11345">
            <v>4815.99</v>
          </cell>
        </row>
        <row r="11346">
          <cell r="B11346">
            <v>44907</v>
          </cell>
          <cell r="C11346">
            <v>4815.99</v>
          </cell>
        </row>
        <row r="11347">
          <cell r="B11347">
            <v>44908</v>
          </cell>
          <cell r="C11347">
            <v>4836.24</v>
          </cell>
        </row>
        <row r="11348">
          <cell r="B11348">
            <v>44909</v>
          </cell>
          <cell r="C11348">
            <v>4791.57</v>
          </cell>
        </row>
        <row r="11349">
          <cell r="B11349">
            <v>44910</v>
          </cell>
          <cell r="C11349">
            <v>4778.28</v>
          </cell>
        </row>
        <row r="11350">
          <cell r="B11350">
            <v>44911</v>
          </cell>
          <cell r="C11350">
            <v>4797.0200000000004</v>
          </cell>
        </row>
        <row r="11351">
          <cell r="B11351">
            <v>44912</v>
          </cell>
          <cell r="C11351">
            <v>4802.4799999999996</v>
          </cell>
        </row>
        <row r="11352">
          <cell r="B11352">
            <v>44913</v>
          </cell>
          <cell r="C11352">
            <v>4802.4799999999996</v>
          </cell>
        </row>
        <row r="11353">
          <cell r="B11353">
            <v>44914</v>
          </cell>
          <cell r="C11353">
            <v>4802.4799999999996</v>
          </cell>
        </row>
        <row r="11354">
          <cell r="B11354">
            <v>44915</v>
          </cell>
          <cell r="C11354">
            <v>4781.28</v>
          </cell>
        </row>
        <row r="11355">
          <cell r="B11355">
            <v>44916</v>
          </cell>
          <cell r="C11355">
            <v>4769.29</v>
          </cell>
        </row>
        <row r="11356">
          <cell r="B11356">
            <v>44917</v>
          </cell>
          <cell r="C11356">
            <v>4761.6400000000003</v>
          </cell>
        </row>
        <row r="11357">
          <cell r="B11357">
            <v>44918</v>
          </cell>
          <cell r="C11357">
            <v>4760.6099999999997</v>
          </cell>
        </row>
        <row r="11358">
          <cell r="B11358">
            <v>44919</v>
          </cell>
          <cell r="C11358">
            <v>4745.04</v>
          </cell>
        </row>
        <row r="11359">
          <cell r="B11359">
            <v>44920</v>
          </cell>
          <cell r="C11359">
            <v>4745.04</v>
          </cell>
        </row>
        <row r="11360">
          <cell r="B11360">
            <v>44921</v>
          </cell>
          <cell r="C11360">
            <v>4745.04</v>
          </cell>
        </row>
        <row r="11361">
          <cell r="B11361">
            <v>44922</v>
          </cell>
          <cell r="C11361">
            <v>4745.04</v>
          </cell>
        </row>
        <row r="11362">
          <cell r="B11362">
            <v>44923</v>
          </cell>
          <cell r="C11362">
            <v>4766.82</v>
          </cell>
        </row>
        <row r="11363">
          <cell r="B11363">
            <v>44924</v>
          </cell>
          <cell r="C11363">
            <v>4765.92</v>
          </cell>
        </row>
        <row r="11364">
          <cell r="B11364">
            <v>44925</v>
          </cell>
          <cell r="C11364">
            <v>4810.2</v>
          </cell>
        </row>
        <row r="11365">
          <cell r="B11365">
            <v>44926</v>
          </cell>
          <cell r="C11365">
            <v>4810.2</v>
          </cell>
        </row>
        <row r="11366">
          <cell r="B11366">
            <v>44927</v>
          </cell>
          <cell r="C11366">
            <v>4810.2</v>
          </cell>
        </row>
        <row r="11367">
          <cell r="B11367">
            <v>44928</v>
          </cell>
          <cell r="C11367">
            <v>4810.2</v>
          </cell>
        </row>
        <row r="11368">
          <cell r="B11368">
            <v>44929</v>
          </cell>
          <cell r="C11368">
            <v>4810.2</v>
          </cell>
        </row>
        <row r="11369">
          <cell r="B11369">
            <v>44930</v>
          </cell>
          <cell r="C11369">
            <v>4842.26</v>
          </cell>
        </row>
        <row r="11370">
          <cell r="B11370">
            <v>44931</v>
          </cell>
          <cell r="C11370">
            <v>4924</v>
          </cell>
        </row>
        <row r="11371">
          <cell r="B11371">
            <v>44932</v>
          </cell>
          <cell r="C11371">
            <v>4989.58</v>
          </cell>
        </row>
        <row r="11372">
          <cell r="B11372">
            <v>44933</v>
          </cell>
          <cell r="C11372">
            <v>4885.66</v>
          </cell>
        </row>
        <row r="11373">
          <cell r="B11373">
            <v>44934</v>
          </cell>
          <cell r="C11373">
            <v>4885.66</v>
          </cell>
        </row>
        <row r="11374">
          <cell r="B11374">
            <v>44935</v>
          </cell>
          <cell r="C11374">
            <v>4885.66</v>
          </cell>
        </row>
        <row r="11375">
          <cell r="B11375">
            <v>44936</v>
          </cell>
          <cell r="C11375">
            <v>4885.66</v>
          </cell>
        </row>
        <row r="11376">
          <cell r="B11376">
            <v>44937</v>
          </cell>
          <cell r="C11376">
            <v>4807.8500000000004</v>
          </cell>
        </row>
        <row r="11377">
          <cell r="B11377">
            <v>44938</v>
          </cell>
          <cell r="C11377">
            <v>4748.54</v>
          </cell>
        </row>
        <row r="11378">
          <cell r="B11378">
            <v>44939</v>
          </cell>
          <cell r="C11378">
            <v>4692.04</v>
          </cell>
        </row>
        <row r="11379">
          <cell r="B11379">
            <v>44940</v>
          </cell>
          <cell r="C11379">
            <v>4693.99</v>
          </cell>
        </row>
        <row r="11380">
          <cell r="B11380">
            <v>44941</v>
          </cell>
          <cell r="C11380">
            <v>4693.99</v>
          </cell>
        </row>
        <row r="11381">
          <cell r="B11381">
            <v>44942</v>
          </cell>
          <cell r="C11381">
            <v>4693.99</v>
          </cell>
        </row>
        <row r="11382">
          <cell r="B11382">
            <v>44943</v>
          </cell>
          <cell r="C11382">
            <v>4693.99</v>
          </cell>
        </row>
        <row r="11383">
          <cell r="B11383">
            <v>44944</v>
          </cell>
          <cell r="C11383">
            <v>4691.09</v>
          </cell>
        </row>
        <row r="11384">
          <cell r="B11384">
            <v>44945</v>
          </cell>
          <cell r="C11384">
            <v>4702.67</v>
          </cell>
        </row>
        <row r="11385">
          <cell r="B11385">
            <v>44946</v>
          </cell>
          <cell r="C11385">
            <v>4683.8500000000004</v>
          </cell>
        </row>
        <row r="11386">
          <cell r="B11386">
            <v>44947</v>
          </cell>
          <cell r="C11386">
            <v>4631.6400000000003</v>
          </cell>
        </row>
        <row r="11387">
          <cell r="B11387">
            <v>44948</v>
          </cell>
          <cell r="C11387">
            <v>4631.6400000000003</v>
          </cell>
        </row>
        <row r="11388">
          <cell r="B11388">
            <v>44949</v>
          </cell>
          <cell r="C11388">
            <v>4631.6400000000003</v>
          </cell>
        </row>
        <row r="11389">
          <cell r="B11389">
            <v>44950</v>
          </cell>
          <cell r="C11389">
            <v>4551.0200000000004</v>
          </cell>
        </row>
        <row r="11390">
          <cell r="B11390">
            <v>44951</v>
          </cell>
          <cell r="C11390">
            <v>4545.9399999999996</v>
          </cell>
        </row>
        <row r="11391">
          <cell r="B11391">
            <v>44952</v>
          </cell>
          <cell r="C11391">
            <v>4538.91</v>
          </cell>
        </row>
        <row r="11392">
          <cell r="B11392">
            <v>44953</v>
          </cell>
          <cell r="C11392">
            <v>4531.75</v>
          </cell>
        </row>
        <row r="11393">
          <cell r="B11393">
            <v>44954</v>
          </cell>
          <cell r="C11393">
            <v>4548.5</v>
          </cell>
        </row>
        <row r="11394">
          <cell r="B11394">
            <v>44955</v>
          </cell>
          <cell r="C11394">
            <v>4548.5</v>
          </cell>
        </row>
        <row r="11395">
          <cell r="B11395">
            <v>44956</v>
          </cell>
          <cell r="C11395">
            <v>4548.5</v>
          </cell>
        </row>
        <row r="11396">
          <cell r="B11396">
            <v>44957</v>
          </cell>
          <cell r="C11396">
            <v>4632.2</v>
          </cell>
        </row>
        <row r="11397">
          <cell r="B11397">
            <v>44958</v>
          </cell>
          <cell r="C11397">
            <v>4648.7</v>
          </cell>
        </row>
        <row r="11398">
          <cell r="B11398">
            <v>44959</v>
          </cell>
          <cell r="C11398">
            <v>4639.04</v>
          </cell>
        </row>
        <row r="11399">
          <cell r="B11399">
            <v>44960</v>
          </cell>
          <cell r="C11399">
            <v>4584.4399999999996</v>
          </cell>
        </row>
        <row r="11400">
          <cell r="B11400">
            <v>44961</v>
          </cell>
          <cell r="C11400">
            <v>4669.74</v>
          </cell>
        </row>
        <row r="11401">
          <cell r="B11401">
            <v>44962</v>
          </cell>
          <cell r="C11401">
            <v>4669.74</v>
          </cell>
        </row>
        <row r="11402">
          <cell r="B11402">
            <v>44963</v>
          </cell>
          <cell r="C11402">
            <v>4669.74</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61FCF-738F-4DEB-8624-E5FE4692A2CF}" name="Tabla2" displayName="Tabla2" ref="A17:A22" totalsRowShown="0" headerRowDxfId="35" dataDxfId="34">
  <autoFilter ref="A17:A22" xr:uid="{00000000-0009-0000-0100-000001000000}"/>
  <sortState xmlns:xlrd2="http://schemas.microsoft.com/office/spreadsheetml/2017/richdata2" ref="A18:A23">
    <sortCondition ref="A8:A14"/>
  </sortState>
  <tableColumns count="1">
    <tableColumn id="1" xr3:uid="{B4757917-F6A0-4374-8F7A-820B6EB64C6B}" name="ANALISTAS" dataDxfId="33"/>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3EECCF-CA32-414C-8EB1-DE9EC0EE921F}" name="Tabla3" displayName="Tabla3" ref="A3:A14" totalsRowShown="0" headerRowDxfId="32" dataDxfId="31">
  <autoFilter ref="A3:A14" xr:uid="{00000000-0009-0000-0100-000002000000}"/>
  <sortState xmlns:xlrd2="http://schemas.microsoft.com/office/spreadsheetml/2017/richdata2" ref="A4:A6">
    <sortCondition ref="A3:A6"/>
  </sortState>
  <tableColumns count="1">
    <tableColumn id="1" xr3:uid="{43AD1F92-B7F7-4E43-BA6B-AEDF879E3D03}" name="RAMOS" dataDxfId="3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A088C2-96B3-47C6-AC77-EAAEA21DF09A}" name="Tabla4" displayName="Tabla4" ref="A25:B48" totalsRowShown="0" headerRowDxfId="29" dataDxfId="28" headerRowBorderDxfId="26" tableBorderDxfId="27">
  <autoFilter ref="A25:B48" xr:uid="{00000000-0009-0000-0100-000003000000}"/>
  <tableColumns count="2">
    <tableColumn id="1" xr3:uid="{8741AC0A-53D3-4646-8AFD-E31B172FF14B}" name="Año" dataDxfId="25"/>
    <tableColumn id="2" xr3:uid="{2DBF6D10-8A4D-4B4D-A508-676405D1068B}" name="SMMLV" dataDxfId="24"/>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8E0CEF-4821-4589-A538-53953EF46A96}" name="Tabla22" displayName="Tabla22" ref="A17:A21" totalsRowShown="0" headerRowDxfId="23" dataDxfId="22">
  <autoFilter ref="A17:A21" xr:uid="{00000000-0009-0000-0100-000005000000}"/>
  <sortState xmlns:xlrd2="http://schemas.microsoft.com/office/spreadsheetml/2017/richdata2" ref="A18:A23">
    <sortCondition ref="A8:A14"/>
  </sortState>
  <tableColumns count="1">
    <tableColumn id="1" xr3:uid="{7D130E0A-8BBF-4B24-8683-7763D68E8DC5}" name="Luis Antonio Vanegas" dataDxfId="2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75C901-A5D1-4718-92F6-B57E330C86B3}" name="Tabla38" displayName="Tabla38" ref="A3:A14" totalsRowShown="0" headerRowDxfId="20" dataDxfId="19">
  <autoFilter ref="A3:A14" xr:uid="{00000000-0009-0000-0100-000007000000}"/>
  <sortState xmlns:xlrd2="http://schemas.microsoft.com/office/spreadsheetml/2017/richdata2" ref="A4:A6">
    <sortCondition ref="A3:A6"/>
  </sortState>
  <tableColumns count="1">
    <tableColumn id="1" xr3:uid="{70DAB39D-0080-4219-9E94-524E10AB91B3}" name="RAMOS" dataDxfId="18"/>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BDF66C-EF0F-4535-B11A-F56092FDA695}" name="Tabla49" displayName="Tabla49" ref="A23:B45" totalsRowShown="0" headerRowDxfId="17" dataDxfId="16" headerRowBorderDxfId="14" tableBorderDxfId="15">
  <autoFilter ref="A23:B45" xr:uid="{00000000-0009-0000-0100-000008000000}"/>
  <tableColumns count="2">
    <tableColumn id="1" xr3:uid="{986A82CD-BC10-40A9-8CF1-609E3708A4D6}" name="Año" dataDxfId="13"/>
    <tableColumn id="2" xr3:uid="{51F69AA3-4FB0-40F5-9342-54510B228A1F}" name="SMMLV" dataDxfId="12"/>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F54114-0924-4484-8D9C-225455F8073E}" name="Tabla2210" displayName="Tabla2210" ref="A17:A21" totalsRowShown="0" headerRowDxfId="11" dataDxfId="10">
  <autoFilter ref="A17:A21" xr:uid="{00000000-0009-0000-0100-000009000000}"/>
  <sortState xmlns:xlrd2="http://schemas.microsoft.com/office/spreadsheetml/2017/richdata2" ref="A18:A23">
    <sortCondition ref="A8:A14"/>
  </sortState>
  <tableColumns count="1">
    <tableColumn id="1" xr3:uid="{9566A4CA-8605-481B-9BE7-C334360BBE2F}" name="Luis Antonio Vanegas" dataDxfId="9"/>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AE01D4-A6EE-49B7-92DD-873B826950C0}" name="Tabla3811" displayName="Tabla3811" ref="A3:A14" totalsRowShown="0" headerRowDxfId="8" dataDxfId="7">
  <autoFilter ref="A3:A14" xr:uid="{00000000-0009-0000-0100-00000A000000}"/>
  <sortState xmlns:xlrd2="http://schemas.microsoft.com/office/spreadsheetml/2017/richdata2" ref="A4:A6">
    <sortCondition ref="A3:A6"/>
  </sortState>
  <tableColumns count="1">
    <tableColumn id="1" xr3:uid="{BFEA8AF2-C685-44EF-8670-940A68E42C83}" name="RAMOS" dataDxfId="6"/>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B83EF5-0E9D-4C05-AF12-6EA3D4349043}" name="Tabla4912" displayName="Tabla4912" ref="A23:B41" totalsRowShown="0" headerRowDxfId="5" dataDxfId="4" headerRowBorderDxfId="2" tableBorderDxfId="3">
  <autoFilter ref="A23:B41" xr:uid="{00000000-0009-0000-0100-00000B000000}"/>
  <tableColumns count="2">
    <tableColumn id="1" xr3:uid="{46F15E50-BE4B-4ABE-9167-5C6A0C412F2B}" name="Año" dataDxfId="1"/>
    <tableColumn id="2" xr3:uid="{59F52B37-15A6-4704-9619-F74B61CEB108}" name="SMMLV" dataDxfId="0"/>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A650-56A2-49A2-8F0E-CA6A1CA3969B}">
  <dimension ref="A1:AI54"/>
  <sheetViews>
    <sheetView showGridLines="0" topLeftCell="C1" workbookViewId="0">
      <selection activeCell="L7" sqref="L7"/>
    </sheetView>
  </sheetViews>
  <sheetFormatPr baseColWidth="10" defaultColWidth="11.453125" defaultRowHeight="11.5" x14ac:dyDescent="0.3"/>
  <cols>
    <col min="1" max="1" width="9.1796875" style="1" hidden="1" customWidth="1"/>
    <col min="2" max="2" width="10.54296875" style="1" hidden="1" customWidth="1"/>
    <col min="3" max="3" width="3.7265625" style="1" customWidth="1"/>
    <col min="4" max="4" width="5" style="1" bestFit="1" customWidth="1"/>
    <col min="5" max="5" width="33.1796875" style="1" customWidth="1"/>
    <col min="6" max="6" width="21.26953125" style="1" customWidth="1"/>
    <col min="7" max="7" width="10.7265625" style="1" customWidth="1"/>
    <col min="8" max="8" width="9.7265625" style="1" customWidth="1"/>
    <col min="9" max="9" width="11.1796875" style="1" customWidth="1"/>
    <col min="10" max="10" width="10.1796875" style="1" customWidth="1"/>
    <col min="11" max="11" width="11.1796875" style="1" bestFit="1" customWidth="1"/>
    <col min="12" max="12" width="10" style="1" customWidth="1"/>
    <col min="13" max="14" width="10.453125" style="1" customWidth="1"/>
    <col min="15" max="15" width="12" style="1" customWidth="1"/>
    <col min="16" max="16" width="12.81640625" style="1" bestFit="1" customWidth="1"/>
    <col min="17" max="17" width="12.26953125" style="1" bestFit="1" customWidth="1"/>
    <col min="18" max="16384" width="11.453125" style="1"/>
  </cols>
  <sheetData>
    <row r="1" spans="1:35" ht="12" thickBot="1" x14ac:dyDescent="0.35"/>
    <row r="2" spans="1:35" ht="15" customHeight="1" thickBot="1" x14ac:dyDescent="0.35">
      <c r="E2" s="2"/>
      <c r="F2" s="3" t="s">
        <v>0</v>
      </c>
      <c r="G2" s="4"/>
      <c r="H2" s="4"/>
      <c r="I2" s="4"/>
      <c r="J2" s="4"/>
      <c r="K2" s="4"/>
      <c r="L2" s="4"/>
      <c r="M2" s="4"/>
      <c r="N2" s="4"/>
      <c r="O2" s="5"/>
      <c r="P2" s="2"/>
      <c r="Q2" s="6"/>
      <c r="R2" s="6"/>
      <c r="S2" s="6"/>
    </row>
    <row r="3" spans="1:35" ht="30" customHeight="1" thickBot="1" x14ac:dyDescent="0.35">
      <c r="A3" s="7" t="s">
        <v>1</v>
      </c>
      <c r="B3" s="7"/>
      <c r="E3"/>
      <c r="F3"/>
      <c r="G3" s="8"/>
      <c r="H3" s="9">
        <f ca="1">TODAY()</f>
        <v>46255</v>
      </c>
      <c r="I3" s="9"/>
      <c r="J3" s="9"/>
      <c r="K3" s="9"/>
      <c r="L3" s="9"/>
      <c r="M3" s="8"/>
      <c r="N3" s="8"/>
      <c r="O3" s="8"/>
      <c r="P3" s="8"/>
      <c r="Q3" s="8"/>
      <c r="R3" s="8"/>
      <c r="S3" s="8"/>
    </row>
    <row r="4" spans="1:35" ht="14.25" customHeight="1" x14ac:dyDescent="0.3">
      <c r="A4" s="1" t="s">
        <v>2</v>
      </c>
      <c r="C4" s="10" t="s">
        <v>3</v>
      </c>
      <c r="D4" s="11" t="s">
        <v>4</v>
      </c>
      <c r="E4" s="12"/>
      <c r="F4" s="13">
        <v>81680</v>
      </c>
      <c r="G4" s="14" t="s">
        <v>5</v>
      </c>
      <c r="H4" s="15"/>
      <c r="I4" s="15"/>
      <c r="J4" s="16"/>
      <c r="K4" s="17" t="s">
        <v>6</v>
      </c>
      <c r="L4" s="18"/>
      <c r="M4" s="18"/>
      <c r="N4" s="18"/>
      <c r="O4" s="19"/>
      <c r="AE4" s="20"/>
      <c r="AF4" s="20"/>
      <c r="AG4" s="20"/>
      <c r="AH4" s="21"/>
    </row>
    <row r="5" spans="1:35" ht="15" customHeight="1" x14ac:dyDescent="0.3">
      <c r="A5" s="1" t="s">
        <v>7</v>
      </c>
      <c r="D5" s="22" t="s">
        <v>8</v>
      </c>
      <c r="E5" s="23"/>
      <c r="F5" s="24">
        <v>45204</v>
      </c>
      <c r="G5" s="25" t="s">
        <v>9</v>
      </c>
      <c r="H5" s="26"/>
      <c r="I5" s="26"/>
      <c r="J5" s="27"/>
      <c r="K5" s="28" t="s">
        <v>10</v>
      </c>
      <c r="L5" s="26"/>
      <c r="M5" s="26"/>
      <c r="N5" s="26"/>
      <c r="O5" s="27"/>
      <c r="P5"/>
      <c r="Q5" s="29"/>
      <c r="AE5" s="20"/>
      <c r="AF5" s="20"/>
      <c r="AH5" s="21"/>
    </row>
    <row r="6" spans="1:35" ht="14.25" customHeight="1" x14ac:dyDescent="0.3">
      <c r="A6" s="1" t="s">
        <v>11</v>
      </c>
      <c r="D6" s="22" t="s">
        <v>12</v>
      </c>
      <c r="E6" s="23"/>
      <c r="F6" s="24">
        <v>45570</v>
      </c>
      <c r="G6" s="30" t="s">
        <v>13</v>
      </c>
      <c r="H6" s="31"/>
      <c r="I6" s="31"/>
      <c r="J6" s="32"/>
      <c r="K6" s="33" t="s">
        <v>14</v>
      </c>
      <c r="L6" s="34" t="s">
        <v>15</v>
      </c>
      <c r="M6" s="34" t="s">
        <v>16</v>
      </c>
      <c r="N6" s="34" t="s">
        <v>17</v>
      </c>
      <c r="O6" s="35" t="s">
        <v>18</v>
      </c>
      <c r="P6" s="29"/>
      <c r="Q6"/>
      <c r="AE6" s="21"/>
      <c r="AF6" s="21"/>
      <c r="AG6" s="21"/>
      <c r="AH6" s="21"/>
    </row>
    <row r="7" spans="1:35" ht="15" customHeight="1" x14ac:dyDescent="0.3">
      <c r="A7" s="1" t="s">
        <v>19</v>
      </c>
      <c r="D7" s="22" t="s">
        <v>20</v>
      </c>
      <c r="E7" s="23"/>
      <c r="F7" s="24">
        <v>45303</v>
      </c>
      <c r="G7" s="36" t="s">
        <v>2</v>
      </c>
      <c r="H7" s="37"/>
      <c r="I7" s="37"/>
      <c r="J7" s="38"/>
      <c r="K7" s="33"/>
      <c r="L7" s="39">
        <v>1</v>
      </c>
      <c r="M7" s="40">
        <v>0.1</v>
      </c>
      <c r="N7" s="41">
        <v>0</v>
      </c>
      <c r="O7" s="42">
        <v>0</v>
      </c>
      <c r="P7" s="29"/>
      <c r="Q7" s="29"/>
      <c r="AD7" s="43"/>
      <c r="AH7" s="21"/>
    </row>
    <row r="8" spans="1:35" ht="14.25" customHeight="1" x14ac:dyDescent="0.3">
      <c r="A8" s="1" t="s">
        <v>21</v>
      </c>
      <c r="D8" s="22" t="s">
        <v>22</v>
      </c>
      <c r="E8" s="23"/>
      <c r="F8" s="44">
        <v>2024</v>
      </c>
      <c r="G8" s="30" t="s">
        <v>23</v>
      </c>
      <c r="H8" s="31"/>
      <c r="I8" s="31"/>
      <c r="J8" s="32"/>
      <c r="K8" s="33"/>
      <c r="L8" s="45" t="e">
        <f>IF(OR(L7="",F8=""),"",VLOOKUP(F8,F42:I51:I51,2,F420)*L7)</f>
        <v>#N/A</v>
      </c>
      <c r="M8" s="45">
        <f>O27*M7</f>
        <v>1750000</v>
      </c>
      <c r="N8" s="46">
        <f>N7*M9</f>
        <v>0</v>
      </c>
      <c r="O8" s="47">
        <f>O7</f>
        <v>0</v>
      </c>
      <c r="P8" s="48"/>
      <c r="Q8" s="29"/>
      <c r="R8" s="48"/>
      <c r="AH8" s="21"/>
    </row>
    <row r="9" spans="1:35" ht="14.25" customHeight="1" thickBot="1" x14ac:dyDescent="0.35">
      <c r="A9" s="1" t="s">
        <v>24</v>
      </c>
      <c r="D9" s="49" t="s">
        <v>25</v>
      </c>
      <c r="E9" s="50"/>
      <c r="F9" s="51">
        <f>F7-F5</f>
        <v>99</v>
      </c>
      <c r="G9" s="52" t="s">
        <v>26</v>
      </c>
      <c r="H9" s="53"/>
      <c r="I9" s="53"/>
      <c r="J9" s="54"/>
      <c r="K9" s="55" t="s">
        <v>27</v>
      </c>
      <c r="L9" s="56"/>
      <c r="M9" s="57">
        <v>4669.74</v>
      </c>
      <c r="N9" s="58"/>
      <c r="O9" s="59"/>
      <c r="P9" s="60"/>
      <c r="Q9" s="29"/>
      <c r="AH9" s="21"/>
    </row>
    <row r="10" spans="1:35" ht="6" customHeight="1" thickBot="1" x14ac:dyDescent="0.35">
      <c r="A10" s="1" t="s">
        <v>28</v>
      </c>
      <c r="D10" s="61"/>
      <c r="E10" s="21"/>
      <c r="F10" s="62"/>
      <c r="P10" s="48"/>
      <c r="V10" s="62"/>
      <c r="W10" s="62"/>
      <c r="X10" s="62"/>
      <c r="Y10" s="62"/>
      <c r="Z10" s="62"/>
      <c r="AA10" s="62"/>
      <c r="AB10" s="62"/>
      <c r="AC10" s="63"/>
      <c r="AD10" s="63"/>
      <c r="AE10" s="21"/>
      <c r="AI10" s="21"/>
    </row>
    <row r="11" spans="1:35" ht="15" customHeight="1" thickBot="1" x14ac:dyDescent="0.35">
      <c r="A11" s="1" t="s">
        <v>29</v>
      </c>
      <c r="D11" s="64" t="s">
        <v>30</v>
      </c>
      <c r="E11" s="65"/>
      <c r="F11" s="66">
        <v>17500000</v>
      </c>
      <c r="G11" s="67"/>
      <c r="H11" s="68"/>
      <c r="I11" s="29"/>
      <c r="J11" s="69">
        <v>0</v>
      </c>
      <c r="K11" s="70">
        <f>M9</f>
        <v>4669.74</v>
      </c>
      <c r="L11" s="71">
        <f>J11*K11</f>
        <v>0</v>
      </c>
      <c r="M11" s="72"/>
      <c r="N11" s="73"/>
      <c r="O11" s="74"/>
      <c r="P11" s="29"/>
      <c r="Q11" s="48"/>
      <c r="V11" s="62"/>
      <c r="W11" s="62"/>
      <c r="X11" s="62"/>
      <c r="Y11" s="62"/>
      <c r="Z11" s="62"/>
      <c r="AA11" s="62"/>
      <c r="AB11" s="62"/>
      <c r="AC11" s="63"/>
      <c r="AD11" s="63"/>
      <c r="AE11" s="21"/>
      <c r="AI11" s="21"/>
    </row>
    <row r="12" spans="1:35" ht="15" customHeight="1" thickBot="1" x14ac:dyDescent="0.35">
      <c r="A12" s="1" t="s">
        <v>31</v>
      </c>
      <c r="D12" s="21"/>
      <c r="E12" s="21"/>
      <c r="F12" s="75"/>
      <c r="G12" s="75"/>
      <c r="H12" s="76"/>
      <c r="I12" s="75"/>
      <c r="J12" s="77"/>
      <c r="K12" s="78"/>
      <c r="L12" s="79"/>
      <c r="M12" s="79"/>
      <c r="N12" s="21"/>
      <c r="O12" s="80"/>
      <c r="P12"/>
      <c r="Q12" s="29"/>
    </row>
    <row r="13" spans="1:35" ht="15" customHeight="1" thickBot="1" x14ac:dyDescent="0.35">
      <c r="A13" s="1" t="s">
        <v>7</v>
      </c>
      <c r="D13" s="3" t="s">
        <v>32</v>
      </c>
      <c r="E13" s="4"/>
      <c r="F13" s="4"/>
      <c r="G13" s="4"/>
      <c r="H13" s="4"/>
      <c r="I13" s="4"/>
      <c r="J13" s="4"/>
      <c r="K13" s="4"/>
      <c r="L13" s="4"/>
      <c r="M13" s="4"/>
      <c r="N13" s="4"/>
      <c r="O13" s="5"/>
      <c r="P13"/>
      <c r="Q13" s="29"/>
    </row>
    <row r="14" spans="1:35" ht="46.5" customHeight="1" x14ac:dyDescent="0.3">
      <c r="A14" s="1" t="s">
        <v>33</v>
      </c>
      <c r="D14" s="81" t="s">
        <v>34</v>
      </c>
      <c r="E14" s="82" t="s">
        <v>35</v>
      </c>
      <c r="F14" s="82" t="s">
        <v>36</v>
      </c>
      <c r="G14" s="83" t="s">
        <v>37</v>
      </c>
      <c r="H14" s="83" t="s">
        <v>38</v>
      </c>
      <c r="I14" s="83" t="s">
        <v>39</v>
      </c>
      <c r="J14" s="83" t="s">
        <v>40</v>
      </c>
      <c r="K14" s="83" t="s">
        <v>41</v>
      </c>
      <c r="L14" s="83" t="s">
        <v>42</v>
      </c>
      <c r="M14" s="83" t="s">
        <v>43</v>
      </c>
      <c r="N14" s="83" t="s">
        <v>44</v>
      </c>
      <c r="O14" s="84" t="s">
        <v>45</v>
      </c>
      <c r="P14"/>
      <c r="Q14" s="85"/>
    </row>
    <row r="15" spans="1:35" ht="13" x14ac:dyDescent="0.3">
      <c r="D15" s="86">
        <v>1</v>
      </c>
      <c r="E15" s="87" t="s">
        <v>46</v>
      </c>
      <c r="F15" s="87" t="s">
        <v>47</v>
      </c>
      <c r="G15" s="88">
        <v>0</v>
      </c>
      <c r="H15" s="89" t="str">
        <f t="shared" ref="H15:H19" si="0">IF(OR(G15="Digite Indice",G15=""),"",IF(F15="Valor Global","Valor Global",F15+(((F15*G15)/($F$6-$F$5))*$F$9)))</f>
        <v>Valor Global</v>
      </c>
      <c r="I15" s="87">
        <v>3000000</v>
      </c>
      <c r="J15" s="90">
        <f t="shared" ref="J15:J19" si="1">IF(OR(I15="",I15="Digite valor"),"",IF(H15="Valor Global",100%,IF(H15/I15&gt;100%,100%,H15/I15)))</f>
        <v>1</v>
      </c>
      <c r="K15" s="87">
        <f>I15</f>
        <v>3000000</v>
      </c>
      <c r="L15" s="91">
        <v>0.5</v>
      </c>
      <c r="M15" s="92">
        <v>1500000</v>
      </c>
      <c r="N15" s="93">
        <f t="shared" ref="N15:N19" si="2">IF(M15="","",IF(M15&gt;=K15,K15,M15))</f>
        <v>1500000</v>
      </c>
      <c r="O15" s="94">
        <f>IF(N15="","",N15*J15)</f>
        <v>1500000</v>
      </c>
      <c r="P15"/>
      <c r="Q15" s="95"/>
      <c r="R15" s="1">
        <v>877803</v>
      </c>
    </row>
    <row r="16" spans="1:35" ht="13" customHeight="1" x14ac:dyDescent="0.3">
      <c r="D16" s="96">
        <v>2</v>
      </c>
      <c r="E16" s="87" t="s">
        <v>48</v>
      </c>
      <c r="F16" s="87" t="s">
        <v>47</v>
      </c>
      <c r="G16" s="88">
        <v>0</v>
      </c>
      <c r="H16" s="89" t="str">
        <f t="shared" si="0"/>
        <v>Valor Global</v>
      </c>
      <c r="I16" s="87">
        <v>3000000</v>
      </c>
      <c r="J16" s="90">
        <f t="shared" si="1"/>
        <v>1</v>
      </c>
      <c r="K16" s="87">
        <f t="shared" ref="K16:K19" si="3">I16</f>
        <v>3000000</v>
      </c>
      <c r="L16" s="91">
        <v>0</v>
      </c>
      <c r="M16" s="92">
        <f t="shared" ref="M16:M19" si="4">K16</f>
        <v>3000000</v>
      </c>
      <c r="N16" s="93">
        <f t="shared" si="2"/>
        <v>3000000</v>
      </c>
      <c r="O16" s="94">
        <f t="shared" ref="O16:O19" si="5">IF(N16="","",N16*J16)</f>
        <v>3000000</v>
      </c>
      <c r="Q16" s="95"/>
      <c r="R16" s="1">
        <f>R15/30</f>
        <v>29260.1</v>
      </c>
    </row>
    <row r="17" spans="1:18" ht="13" x14ac:dyDescent="0.3">
      <c r="A17" s="1" t="s">
        <v>49</v>
      </c>
      <c r="D17" s="96">
        <v>3</v>
      </c>
      <c r="E17" s="87" t="s">
        <v>50</v>
      </c>
      <c r="F17" s="87" t="s">
        <v>47</v>
      </c>
      <c r="G17" s="88">
        <v>0</v>
      </c>
      <c r="H17" s="89" t="str">
        <f t="shared" si="0"/>
        <v>Valor Global</v>
      </c>
      <c r="I17" s="87">
        <v>4220000</v>
      </c>
      <c r="J17" s="90">
        <f t="shared" si="1"/>
        <v>1</v>
      </c>
      <c r="K17" s="87">
        <f t="shared" si="3"/>
        <v>4220000</v>
      </c>
      <c r="L17" s="91">
        <v>0</v>
      </c>
      <c r="M17" s="92">
        <f t="shared" si="4"/>
        <v>4220000</v>
      </c>
      <c r="N17" s="93">
        <f t="shared" si="2"/>
        <v>4220000</v>
      </c>
      <c r="O17" s="94">
        <f t="shared" si="5"/>
        <v>4220000</v>
      </c>
      <c r="P17" s="77"/>
      <c r="Q17"/>
      <c r="R17" s="1">
        <f>R16*10</f>
        <v>292601</v>
      </c>
    </row>
    <row r="18" spans="1:18" ht="13" x14ac:dyDescent="0.3">
      <c r="A18" s="1" t="s">
        <v>51</v>
      </c>
      <c r="D18" s="97">
        <v>4</v>
      </c>
      <c r="E18" s="87" t="s">
        <v>52</v>
      </c>
      <c r="F18" s="87" t="s">
        <v>47</v>
      </c>
      <c r="G18" s="88">
        <v>0</v>
      </c>
      <c r="H18" s="89" t="str">
        <f t="shared" si="0"/>
        <v>Valor Global</v>
      </c>
      <c r="I18" s="87">
        <v>7599900</v>
      </c>
      <c r="J18" s="90">
        <f t="shared" si="1"/>
        <v>1</v>
      </c>
      <c r="K18" s="87">
        <f t="shared" si="3"/>
        <v>7599900</v>
      </c>
      <c r="L18" s="91">
        <v>0</v>
      </c>
      <c r="M18" s="92">
        <f t="shared" si="4"/>
        <v>7599900</v>
      </c>
      <c r="N18" s="93">
        <f t="shared" si="2"/>
        <v>7599900</v>
      </c>
      <c r="O18" s="94">
        <f t="shared" si="5"/>
        <v>7599900</v>
      </c>
      <c r="P18" s="77"/>
      <c r="Q18" s="29"/>
    </row>
    <row r="19" spans="1:18" ht="15.5" x14ac:dyDescent="0.35">
      <c r="A19" s="1" t="s">
        <v>53</v>
      </c>
      <c r="D19" s="96">
        <v>5</v>
      </c>
      <c r="E19" s="87" t="s">
        <v>54</v>
      </c>
      <c r="F19" s="87" t="s">
        <v>47</v>
      </c>
      <c r="G19" s="88">
        <v>0</v>
      </c>
      <c r="H19" s="89" t="str">
        <f t="shared" si="0"/>
        <v>Valor Global</v>
      </c>
      <c r="I19" s="87">
        <v>2899900</v>
      </c>
      <c r="J19" s="90">
        <f t="shared" si="1"/>
        <v>1</v>
      </c>
      <c r="K19" s="87">
        <f t="shared" si="3"/>
        <v>2899900</v>
      </c>
      <c r="L19" s="91">
        <v>0</v>
      </c>
      <c r="M19" s="92">
        <f t="shared" si="4"/>
        <v>2899900</v>
      </c>
      <c r="N19" s="93">
        <f t="shared" si="2"/>
        <v>2899900</v>
      </c>
      <c r="O19" s="94">
        <f t="shared" si="5"/>
        <v>2899900</v>
      </c>
      <c r="P19" s="98"/>
    </row>
    <row r="20" spans="1:18" x14ac:dyDescent="0.3">
      <c r="A20" s="1" t="s">
        <v>55</v>
      </c>
      <c r="D20" s="96"/>
      <c r="E20" s="87"/>
      <c r="F20" s="87"/>
      <c r="G20" s="88"/>
      <c r="H20" s="89"/>
      <c r="I20" s="87"/>
      <c r="J20" s="90"/>
      <c r="K20" s="87"/>
      <c r="L20" s="91"/>
      <c r="M20" s="92"/>
      <c r="N20" s="93"/>
      <c r="O20" s="94"/>
      <c r="P20" s="77"/>
    </row>
    <row r="21" spans="1:18" ht="13" x14ac:dyDescent="0.3">
      <c r="A21" s="1" t="s">
        <v>56</v>
      </c>
      <c r="D21" s="96"/>
      <c r="E21" s="87"/>
      <c r="F21" s="87"/>
      <c r="G21" s="88"/>
      <c r="H21" s="89"/>
      <c r="I21" s="87"/>
      <c r="J21" s="90"/>
      <c r="K21" s="87"/>
      <c r="L21" s="91"/>
      <c r="M21" s="92"/>
      <c r="N21" s="93"/>
      <c r="O21" s="94"/>
      <c r="P21"/>
      <c r="Q21" s="99"/>
    </row>
    <row r="22" spans="1:18" x14ac:dyDescent="0.3">
      <c r="A22" s="1" t="s">
        <v>57</v>
      </c>
      <c r="D22" s="96"/>
      <c r="E22" s="87"/>
      <c r="F22" s="87"/>
      <c r="G22" s="88"/>
      <c r="H22" s="89"/>
      <c r="I22" s="87"/>
      <c r="J22" s="90"/>
      <c r="K22" s="87"/>
      <c r="L22" s="91"/>
      <c r="M22" s="92"/>
      <c r="N22" s="93"/>
      <c r="O22" s="94"/>
      <c r="P22" s="77"/>
    </row>
    <row r="23" spans="1:18" x14ac:dyDescent="0.3">
      <c r="D23" s="96"/>
      <c r="E23" s="100"/>
      <c r="F23" s="87"/>
      <c r="G23" s="88"/>
      <c r="H23" s="89"/>
      <c r="I23" s="87"/>
      <c r="J23" s="90"/>
      <c r="K23" s="87"/>
      <c r="L23" s="91"/>
      <c r="M23" s="92"/>
      <c r="N23" s="93"/>
      <c r="O23" s="94"/>
      <c r="P23" s="77"/>
    </row>
    <row r="24" spans="1:18" ht="13.5" thickBot="1" x14ac:dyDescent="0.35">
      <c r="D24" s="101"/>
      <c r="E24" s="100"/>
      <c r="F24" s="87"/>
      <c r="G24" s="88"/>
      <c r="H24" s="89"/>
      <c r="I24" s="87"/>
      <c r="J24" s="90"/>
      <c r="K24" s="87"/>
      <c r="L24" s="91"/>
      <c r="M24" s="92"/>
      <c r="N24" s="93"/>
      <c r="O24" s="94"/>
      <c r="P24"/>
      <c r="Q24" s="102"/>
      <c r="R24"/>
    </row>
    <row r="25" spans="1:18" ht="13.5" hidden="1" thickBot="1" x14ac:dyDescent="0.35">
      <c r="A25" s="1" t="s">
        <v>58</v>
      </c>
      <c r="B25" s="1" t="s">
        <v>15</v>
      </c>
      <c r="D25" s="103">
        <v>11</v>
      </c>
      <c r="E25" s="104"/>
      <c r="F25" s="105"/>
      <c r="G25" s="106"/>
      <c r="H25" s="107" t="str">
        <f>IF(OR(G25="Digite Indice",G25=""),"",IF(F25="Valor Global","Valor Global",F25+(((F25*G25)/($F$6-$F$5))*$F$9)))</f>
        <v/>
      </c>
      <c r="I25" s="105"/>
      <c r="J25" s="108"/>
      <c r="K25" s="105"/>
      <c r="L25" s="106"/>
      <c r="M25" s="107"/>
      <c r="N25" s="109"/>
      <c r="O25" s="110"/>
      <c r="P25"/>
      <c r="Q25" s="102"/>
      <c r="R25"/>
    </row>
    <row r="26" spans="1:18" ht="13.5" hidden="1" thickBot="1" x14ac:dyDescent="0.35">
      <c r="A26" s="111">
        <v>2003</v>
      </c>
      <c r="B26" s="112">
        <v>332000</v>
      </c>
      <c r="D26" s="113">
        <v>12</v>
      </c>
      <c r="E26" s="114"/>
      <c r="F26" s="115" t="str">
        <f>IF(AND(E26&lt;&gt;"Digite Descripción",E26&lt;&gt;""),"Digite Valor","")</f>
        <v/>
      </c>
      <c r="G26" s="116" t="str">
        <f>IF(AND(F26&lt;&gt;"Digite Valor",F26&lt;&gt;""),"Digite Indice","")</f>
        <v/>
      </c>
      <c r="H26" s="117" t="str">
        <f>IF(OR(G26="Digite Indice",G26=""),"",IF(F26="Valor Global","Valor Global",F26+(((F26*G26)/($F$6-$F$5))*$F$9)))</f>
        <v/>
      </c>
      <c r="I26" s="115" t="str">
        <f>IF(H26="","","Digite valor")</f>
        <v/>
      </c>
      <c r="J26" s="118" t="str">
        <f>IF(OR(I26="",I26="Digite valor"),"",IF(H26="Valor Global",100%,IF(H26/I26&gt;100%,100%,H26/I26)))</f>
        <v/>
      </c>
      <c r="K26" s="115" t="str">
        <f>IF(J26="","","Digite valor")</f>
        <v/>
      </c>
      <c r="L26" s="116" t="str">
        <f>IF(OR(K26="",K26="Digite valor"),"","Digite Porcentaje")</f>
        <v/>
      </c>
      <c r="M26" s="119" t="str">
        <f>IF(OR(L26="",L26="Digite Porcentaje"),"",I26-(I26*L26))</f>
        <v/>
      </c>
      <c r="N26" s="120" t="str">
        <f>IF(M26="","",IF(M26&gt;=K26,K26,M26))</f>
        <v/>
      </c>
      <c r="O26" s="121" t="str">
        <f>IF(N26="","",N26*J26)</f>
        <v/>
      </c>
      <c r="P26"/>
      <c r="Q26" s="95"/>
      <c r="R26"/>
    </row>
    <row r="27" spans="1:18" ht="13.5" thickBot="1" x14ac:dyDescent="0.35">
      <c r="A27" s="111">
        <v>2004</v>
      </c>
      <c r="B27" s="112">
        <v>358000</v>
      </c>
      <c r="D27" s="8" t="s">
        <v>59</v>
      </c>
      <c r="E27" s="8"/>
      <c r="F27" s="75"/>
      <c r="G27" s="75"/>
      <c r="H27" s="122"/>
      <c r="I27" s="122"/>
      <c r="J27" s="8"/>
      <c r="L27" s="123" t="s">
        <v>60</v>
      </c>
      <c r="M27" s="124"/>
      <c r="N27" s="125"/>
      <c r="O27" s="126">
        <f>IF(O15="","",IF(F11="",SUM(O15:O26),IF(F11&lt;SUM(O15:O26),F11,SUM(O15:O26))))</f>
        <v>17500000</v>
      </c>
      <c r="P27"/>
      <c r="Q27" s="95"/>
      <c r="R27"/>
    </row>
    <row r="28" spans="1:18" ht="13" x14ac:dyDescent="0.3">
      <c r="A28" s="111">
        <v>2005</v>
      </c>
      <c r="B28" s="112">
        <v>381500</v>
      </c>
      <c r="D28" s="127" t="s">
        <v>61</v>
      </c>
      <c r="E28" s="128"/>
      <c r="F28" s="129"/>
      <c r="L28" s="130" t="s">
        <v>62</v>
      </c>
      <c r="M28" s="131"/>
      <c r="N28" s="132"/>
      <c r="O28" s="133" t="e">
        <f>IF(O27="","",IF(AND($L$8&gt;$M$8,$L$8&gt;$N$8,$L$8&gt;$O$8),$L$8,IF(AND($M$8&gt;$L$8,$M$8&gt;$N$8,$M$8&gt;$O$8),$M$8,IF(AND($N$8&gt;$L$8,$N$8&gt;$M$8,$N$8&gt;$O$8),$N$8,$O$8))))</f>
        <v>#N/A</v>
      </c>
      <c r="P28" s="134"/>
      <c r="Q28" s="95"/>
      <c r="R28"/>
    </row>
    <row r="29" spans="1:18" ht="13.5" thickBot="1" x14ac:dyDescent="0.35">
      <c r="A29" s="111">
        <v>2006</v>
      </c>
      <c r="B29" s="112">
        <v>408000</v>
      </c>
      <c r="D29" s="135" t="s">
        <v>53</v>
      </c>
      <c r="E29" s="136"/>
      <c r="F29" s="137"/>
      <c r="L29" s="138" t="s">
        <v>63</v>
      </c>
      <c r="M29" s="139"/>
      <c r="N29" s="140"/>
      <c r="O29" s="141" t="e">
        <f>IF(O27="","",IF(O27-O28&gt;0,O27-O28,0))</f>
        <v>#N/A</v>
      </c>
      <c r="P29" s="142"/>
      <c r="Q29" s="95"/>
      <c r="R29"/>
    </row>
    <row r="30" spans="1:18" ht="15" customHeight="1" thickBot="1" x14ac:dyDescent="0.35">
      <c r="A30" s="111">
        <v>2007</v>
      </c>
      <c r="B30" s="112">
        <v>433700</v>
      </c>
      <c r="D30" s="143" t="s">
        <v>64</v>
      </c>
      <c r="E30" s="144"/>
      <c r="F30" s="145"/>
      <c r="G30" s="146"/>
      <c r="H30" s="147"/>
      <c r="I30" s="147"/>
      <c r="J30" s="148"/>
      <c r="K30" s="146"/>
      <c r="L30" s="149"/>
      <c r="M30" s="150"/>
      <c r="N30" s="150"/>
      <c r="O30" s="151"/>
      <c r="P30" s="77"/>
      <c r="Q30" s="146"/>
    </row>
    <row r="31" spans="1:18" ht="8.25" customHeight="1" thickBot="1" x14ac:dyDescent="0.35">
      <c r="A31" s="111">
        <v>2008</v>
      </c>
      <c r="B31" s="112">
        <v>461500</v>
      </c>
      <c r="E31" s="152"/>
      <c r="F31" s="153"/>
    </row>
    <row r="32" spans="1:18" ht="14.25" customHeight="1" x14ac:dyDescent="0.3">
      <c r="A32" s="111">
        <v>2009</v>
      </c>
      <c r="B32" s="112">
        <v>496900</v>
      </c>
      <c r="D32" s="154" t="s">
        <v>65</v>
      </c>
      <c r="E32" s="155"/>
      <c r="F32" s="155"/>
      <c r="G32" s="155"/>
      <c r="H32" s="155"/>
      <c r="I32" s="155"/>
      <c r="J32" s="155"/>
      <c r="K32" s="155"/>
      <c r="L32" s="155"/>
      <c r="M32" s="155"/>
      <c r="N32" s="155"/>
      <c r="O32" s="156"/>
      <c r="P32" s="157" t="e">
        <f>O27-O28</f>
        <v>#N/A</v>
      </c>
    </row>
    <row r="33" spans="1:17" ht="16.5" customHeight="1" thickBot="1" x14ac:dyDescent="0.35">
      <c r="A33" s="111">
        <v>2010</v>
      </c>
      <c r="B33" s="112">
        <v>515000</v>
      </c>
      <c r="D33" s="158"/>
      <c r="E33" s="159"/>
      <c r="F33" s="159"/>
      <c r="G33" s="159"/>
      <c r="H33" s="159"/>
      <c r="I33" s="159"/>
      <c r="J33" s="159"/>
      <c r="K33" s="159"/>
      <c r="L33" s="159"/>
      <c r="M33" s="159"/>
      <c r="N33" s="159"/>
      <c r="O33" s="160"/>
      <c r="P33" s="1">
        <v>9900000</v>
      </c>
      <c r="Q33" s="157"/>
    </row>
    <row r="34" spans="1:17" ht="6" customHeight="1" x14ac:dyDescent="0.3">
      <c r="A34" s="111">
        <v>2011</v>
      </c>
      <c r="B34" s="112">
        <v>535600</v>
      </c>
      <c r="E34" s="152"/>
      <c r="F34" s="161"/>
      <c r="G34" s="161"/>
      <c r="H34" s="161"/>
      <c r="I34" s="161"/>
      <c r="J34" s="161"/>
      <c r="K34" s="161"/>
      <c r="L34" s="152"/>
      <c r="M34" s="152"/>
      <c r="N34" s="152"/>
      <c r="O34" s="152"/>
    </row>
    <row r="35" spans="1:17" ht="36.75" customHeight="1" x14ac:dyDescent="0.3">
      <c r="A35" s="111">
        <v>2012</v>
      </c>
      <c r="B35" s="112">
        <v>566700</v>
      </c>
      <c r="D35" s="162" t="s">
        <v>66</v>
      </c>
      <c r="E35" s="162"/>
      <c r="F35" s="162"/>
      <c r="G35" s="162"/>
      <c r="H35" s="162"/>
      <c r="I35" s="162"/>
      <c r="J35" s="162"/>
      <c r="K35" s="162"/>
      <c r="L35" s="162"/>
      <c r="M35" s="162"/>
      <c r="N35" s="162"/>
      <c r="O35" s="162"/>
      <c r="P35" s="157" t="e">
        <f>P33-P32</f>
        <v>#N/A</v>
      </c>
    </row>
    <row r="36" spans="1:17" ht="25.5" customHeight="1" x14ac:dyDescent="0.3">
      <c r="A36" s="1">
        <v>2015</v>
      </c>
      <c r="B36" s="163">
        <v>644350</v>
      </c>
      <c r="D36" s="164" t="s">
        <v>67</v>
      </c>
      <c r="E36" s="165"/>
      <c r="F36" s="165"/>
      <c r="G36" s="165"/>
      <c r="H36" s="165"/>
      <c r="I36" s="165"/>
      <c r="J36" s="165"/>
      <c r="K36" s="165"/>
      <c r="L36" s="165"/>
      <c r="M36" s="165"/>
      <c r="N36" s="165"/>
      <c r="O36" s="165"/>
      <c r="P36" s="99"/>
    </row>
    <row r="37" spans="1:17" ht="13.5" customHeight="1" x14ac:dyDescent="0.3">
      <c r="A37" s="111"/>
      <c r="B37" s="112"/>
      <c r="D37" s="166"/>
      <c r="E37" s="167"/>
      <c r="F37" s="167"/>
      <c r="G37" s="167"/>
      <c r="H37" s="167"/>
      <c r="I37" s="167"/>
      <c r="J37" s="167"/>
      <c r="K37" s="167"/>
      <c r="L37" s="167"/>
      <c r="M37" s="167"/>
      <c r="N37" s="167"/>
      <c r="O37" s="167"/>
      <c r="P37" s="99"/>
    </row>
    <row r="38" spans="1:17" ht="48" customHeight="1" x14ac:dyDescent="0.3">
      <c r="A38" s="1">
        <v>2016</v>
      </c>
      <c r="B38" s="163">
        <v>689455</v>
      </c>
      <c r="D38" s="168" t="s">
        <v>68</v>
      </c>
      <c r="E38" s="168"/>
      <c r="F38" s="168"/>
      <c r="G38" s="168"/>
      <c r="H38" s="168"/>
      <c r="I38" s="168"/>
      <c r="J38" s="168"/>
      <c r="K38" s="168"/>
      <c r="L38" s="168"/>
      <c r="M38" s="168"/>
      <c r="N38" s="168"/>
      <c r="O38" s="168"/>
      <c r="P38" s="99"/>
      <c r="Q38" s="169"/>
    </row>
    <row r="39" spans="1:17" ht="29.25" customHeight="1" x14ac:dyDescent="0.3">
      <c r="A39" s="1">
        <v>2017</v>
      </c>
      <c r="B39" s="170">
        <v>737717</v>
      </c>
      <c r="E39" s="152"/>
      <c r="F39" s="161"/>
      <c r="G39" s="161"/>
      <c r="H39" s="161"/>
      <c r="I39" s="161"/>
      <c r="J39" s="161"/>
      <c r="K39" s="161"/>
      <c r="L39" s="152"/>
      <c r="M39" s="152"/>
      <c r="N39" s="152"/>
      <c r="O39" s="152"/>
    </row>
    <row r="40" spans="1:17" ht="12.75" hidden="1" customHeight="1" x14ac:dyDescent="0.3">
      <c r="A40" s="1">
        <v>2018</v>
      </c>
      <c r="B40" s="170">
        <v>781242</v>
      </c>
      <c r="D40" s="171" t="s">
        <v>69</v>
      </c>
      <c r="E40" s="171"/>
      <c r="F40" s="171"/>
      <c r="G40" s="171"/>
      <c r="H40" s="171"/>
      <c r="I40" s="171"/>
      <c r="J40" s="171"/>
      <c r="K40" s="171"/>
      <c r="L40" s="171"/>
      <c r="M40" s="171"/>
      <c r="N40" s="171"/>
      <c r="O40" s="171"/>
    </row>
    <row r="41" spans="1:17" ht="12" thickBot="1" x14ac:dyDescent="0.35">
      <c r="A41" s="1">
        <v>2019</v>
      </c>
      <c r="B41" s="170">
        <v>828116</v>
      </c>
      <c r="E41" s="152"/>
      <c r="F41" s="99"/>
      <c r="G41" s="161"/>
      <c r="H41" s="161"/>
      <c r="I41" s="161"/>
      <c r="J41" s="161"/>
      <c r="K41" s="161"/>
      <c r="L41" s="152"/>
      <c r="M41" s="152"/>
      <c r="N41" s="152"/>
      <c r="O41" s="152"/>
    </row>
    <row r="42" spans="1:17" ht="12" thickBot="1" x14ac:dyDescent="0.35">
      <c r="A42" s="1">
        <v>2020</v>
      </c>
      <c r="B42" s="170">
        <v>877803</v>
      </c>
      <c r="E42" s="172"/>
      <c r="F42" s="173" t="s">
        <v>70</v>
      </c>
      <c r="G42" s="174" t="s">
        <v>71</v>
      </c>
      <c r="H42" s="174" t="s">
        <v>72</v>
      </c>
      <c r="I42" s="175" t="s">
        <v>73</v>
      </c>
      <c r="J42" s="161"/>
      <c r="K42" s="161"/>
      <c r="L42" s="152"/>
      <c r="M42" s="152"/>
      <c r="N42" s="152"/>
      <c r="O42" s="152"/>
    </row>
    <row r="43" spans="1:17" ht="14" x14ac:dyDescent="0.3">
      <c r="A43" s="111"/>
      <c r="B43" s="176"/>
      <c r="E43" s="172"/>
      <c r="F43" s="177" t="s">
        <v>74</v>
      </c>
      <c r="G43" s="178">
        <v>1300000</v>
      </c>
      <c r="H43" s="178">
        <v>162000</v>
      </c>
      <c r="I43" s="179">
        <f t="shared" ref="I43:I46" si="6">G43/30</f>
        <v>43333.333333333336</v>
      </c>
      <c r="J43" s="161"/>
      <c r="K43" s="161"/>
      <c r="L43" s="152"/>
      <c r="M43" s="152"/>
      <c r="N43" s="152"/>
      <c r="O43" s="152"/>
    </row>
    <row r="44" spans="1:17" ht="14" x14ac:dyDescent="0.3">
      <c r="A44" s="111"/>
      <c r="B44" s="176"/>
      <c r="E44" s="172"/>
      <c r="F44" s="177" t="s">
        <v>75</v>
      </c>
      <c r="G44" s="178">
        <v>1160000</v>
      </c>
      <c r="H44" s="178">
        <v>140606</v>
      </c>
      <c r="I44" s="179">
        <f t="shared" si="6"/>
        <v>38666.666666666664</v>
      </c>
      <c r="J44" s="161"/>
      <c r="K44" s="161"/>
      <c r="L44" s="152"/>
      <c r="M44" s="152"/>
      <c r="N44" s="152"/>
      <c r="O44" s="152"/>
    </row>
    <row r="45" spans="1:17" ht="14" x14ac:dyDescent="0.3">
      <c r="A45" s="1">
        <v>2021</v>
      </c>
      <c r="B45" s="170">
        <v>908526</v>
      </c>
      <c r="E45" s="172"/>
      <c r="F45" s="177" t="s">
        <v>76</v>
      </c>
      <c r="G45" s="178">
        <v>1000000</v>
      </c>
      <c r="H45" s="178">
        <v>117172</v>
      </c>
      <c r="I45" s="179">
        <f t="shared" si="6"/>
        <v>33333.333333333336</v>
      </c>
      <c r="J45" s="161"/>
      <c r="K45" s="161"/>
      <c r="L45" s="152"/>
      <c r="M45" s="152"/>
      <c r="N45" s="152"/>
      <c r="O45" s="152"/>
    </row>
    <row r="46" spans="1:17" ht="14" x14ac:dyDescent="0.3">
      <c r="A46" s="1">
        <v>2022</v>
      </c>
      <c r="B46" s="170">
        <v>1000000</v>
      </c>
      <c r="E46" s="172"/>
      <c r="F46" s="177" t="s">
        <v>77</v>
      </c>
      <c r="G46" s="178">
        <v>908526</v>
      </c>
      <c r="H46" s="178">
        <v>106454</v>
      </c>
      <c r="I46" s="179">
        <f t="shared" si="6"/>
        <v>30284.2</v>
      </c>
      <c r="J46" s="161"/>
      <c r="K46" s="161"/>
      <c r="L46" s="152"/>
      <c r="M46" s="152"/>
      <c r="N46" s="152"/>
      <c r="O46" s="152"/>
    </row>
    <row r="47" spans="1:17" ht="14" x14ac:dyDescent="0.3">
      <c r="A47" s="1">
        <v>2023</v>
      </c>
      <c r="B47" s="170">
        <v>1160000</v>
      </c>
      <c r="E47" s="172"/>
      <c r="F47" s="177" t="s">
        <v>78</v>
      </c>
      <c r="G47" s="178">
        <v>877803</v>
      </c>
      <c r="H47" s="178">
        <v>102854</v>
      </c>
      <c r="I47" s="179">
        <f>G47/30</f>
        <v>29260.1</v>
      </c>
      <c r="J47" s="180">
        <f>I45*200</f>
        <v>6666666.666666667</v>
      </c>
      <c r="K47" s="180"/>
      <c r="L47" s="172"/>
      <c r="M47" s="172"/>
      <c r="N47" s="172"/>
    </row>
    <row r="48" spans="1:17" ht="14" x14ac:dyDescent="0.3">
      <c r="B48" s="170"/>
      <c r="E48" s="172"/>
      <c r="F48" s="181" t="s">
        <v>79</v>
      </c>
      <c r="G48" s="178">
        <v>828116</v>
      </c>
      <c r="H48" s="178">
        <v>97032</v>
      </c>
      <c r="I48" s="179">
        <f>G48/30</f>
        <v>27603.866666666665</v>
      </c>
      <c r="J48" s="182"/>
      <c r="K48" s="182">
        <f>I47*200</f>
        <v>5852020</v>
      </c>
      <c r="L48" s="172"/>
      <c r="M48" t="s">
        <v>80</v>
      </c>
      <c r="N48" s="172"/>
    </row>
    <row r="49" spans="6:14" ht="14" x14ac:dyDescent="0.3">
      <c r="F49" s="181" t="s">
        <v>81</v>
      </c>
      <c r="G49" s="178">
        <v>781242</v>
      </c>
      <c r="H49" s="178">
        <v>88211</v>
      </c>
      <c r="I49" s="179">
        <f>G49/30</f>
        <v>26041.4</v>
      </c>
      <c r="J49" s="182"/>
      <c r="K49" s="182"/>
      <c r="L49" s="172"/>
      <c r="M49" t="s">
        <v>82</v>
      </c>
      <c r="N49" s="172"/>
    </row>
    <row r="50" spans="6:14" ht="14" x14ac:dyDescent="0.3">
      <c r="F50" s="181" t="s">
        <v>83</v>
      </c>
      <c r="G50" s="178">
        <v>737717</v>
      </c>
      <c r="H50" s="178">
        <v>83140</v>
      </c>
      <c r="I50" s="179">
        <f>G50/30</f>
        <v>24590.566666666666</v>
      </c>
      <c r="J50" s="182"/>
      <c r="K50" s="182"/>
      <c r="L50" s="172"/>
      <c r="M50" s="172"/>
      <c r="N50" s="172"/>
    </row>
    <row r="51" spans="6:14" ht="14.5" thickBot="1" x14ac:dyDescent="0.35">
      <c r="F51" s="183" t="s">
        <v>84</v>
      </c>
      <c r="G51" s="184">
        <v>689455</v>
      </c>
      <c r="H51" s="184">
        <v>77700</v>
      </c>
      <c r="I51" s="185">
        <f>G51/30</f>
        <v>22981.833333333332</v>
      </c>
      <c r="J51" s="186"/>
      <c r="K51" s="186"/>
    </row>
    <row r="52" spans="6:14" x14ac:dyDescent="0.3">
      <c r="F52" s="186"/>
      <c r="G52" s="186"/>
      <c r="H52" s="186"/>
      <c r="I52" s="186"/>
      <c r="J52" s="186"/>
      <c r="K52" s="186"/>
    </row>
    <row r="53" spans="6:14" x14ac:dyDescent="0.3">
      <c r="G53" s="186"/>
      <c r="H53" s="186"/>
      <c r="I53" s="186"/>
      <c r="J53" s="186"/>
      <c r="K53" s="186"/>
    </row>
    <row r="54" spans="6:14" x14ac:dyDescent="0.3">
      <c r="G54" s="186"/>
      <c r="H54" s="186"/>
      <c r="I54" s="186"/>
      <c r="J54" s="186"/>
      <c r="K54" s="186"/>
    </row>
  </sheetData>
  <mergeCells count="37">
    <mergeCell ref="D38:O38"/>
    <mergeCell ref="D40:O40"/>
    <mergeCell ref="J47:K47"/>
    <mergeCell ref="D30:F30"/>
    <mergeCell ref="H30:I30"/>
    <mergeCell ref="L30:N30"/>
    <mergeCell ref="D32:O33"/>
    <mergeCell ref="D35:O35"/>
    <mergeCell ref="D36:O36"/>
    <mergeCell ref="L12:M12"/>
    <mergeCell ref="D13:O13"/>
    <mergeCell ref="L27:N27"/>
    <mergeCell ref="D28:F28"/>
    <mergeCell ref="L28:N28"/>
    <mergeCell ref="D29:F29"/>
    <mergeCell ref="L29:N29"/>
    <mergeCell ref="D9:E9"/>
    <mergeCell ref="G9:J9"/>
    <mergeCell ref="K9:L9"/>
    <mergeCell ref="M9:O9"/>
    <mergeCell ref="D11:E11"/>
    <mergeCell ref="L11:M11"/>
    <mergeCell ref="D6:E6"/>
    <mergeCell ref="G6:J6"/>
    <mergeCell ref="K6:K8"/>
    <mergeCell ref="D7:E7"/>
    <mergeCell ref="G7:J7"/>
    <mergeCell ref="D8:E8"/>
    <mergeCell ref="G8:J8"/>
    <mergeCell ref="F2:O2"/>
    <mergeCell ref="H3:L3"/>
    <mergeCell ref="D4:E4"/>
    <mergeCell ref="G4:J4"/>
    <mergeCell ref="K4:O4"/>
    <mergeCell ref="D5:E5"/>
    <mergeCell ref="G5:J5"/>
    <mergeCell ref="K5:O5"/>
  </mergeCells>
  <dataValidations count="2">
    <dataValidation type="list" allowBlank="1" showInputMessage="1" showErrorMessage="1" sqref="G7" xr:uid="{17B530A0-3691-46F5-8EDE-E4A45A0D86BB}">
      <formula1>$A$4:$A$14</formula1>
    </dataValidation>
    <dataValidation type="list" allowBlank="1" showInputMessage="1" showErrorMessage="1" sqref="G31:O31 D29:F29" xr:uid="{9766DF4B-E985-4979-BBD1-FE693F30A8DC}">
      <formula1>$A$17:$A$22</formula1>
    </dataValidation>
  </dataValidations>
  <printOptions horizontalCentered="1" verticalCentered="1"/>
  <pageMargins left="0.6" right="0.39370078740157483" top="0.39370078740157483" bottom="0.39370078740157483" header="0" footer="0"/>
  <pageSetup paperSize="121" scale="80" orientation="landscape" horizontalDpi="4294967294" verticalDpi="4294967294" r:id="rId1"/>
  <headerFooter alignWithMargins="0">
    <oddFooter>&amp;L_x000D_&amp;1#&amp;"Calibri"&amp;10&amp;K000000 INTERNAL USE ONLY</oddFooter>
  </headerFooter>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D69A-19BB-42A8-8D1C-87EEC333346F}">
  <sheetPr>
    <pageSetUpPr fitToPage="1"/>
  </sheetPr>
  <dimension ref="A1:AK51"/>
  <sheetViews>
    <sheetView showGridLines="0" topLeftCell="C1" workbookViewId="0">
      <selection activeCell="U13" sqref="U13"/>
    </sheetView>
  </sheetViews>
  <sheetFormatPr baseColWidth="10" defaultColWidth="11.453125" defaultRowHeight="12" customHeight="1" x14ac:dyDescent="0.2"/>
  <cols>
    <col min="1" max="1" width="8.54296875" style="188" hidden="1" customWidth="1"/>
    <col min="2" max="2" width="7.26953125" style="188" hidden="1" customWidth="1"/>
    <col min="3" max="3" width="3.54296875" style="188" customWidth="1"/>
    <col min="4" max="4" width="6.1796875" style="188" customWidth="1"/>
    <col min="5" max="5" width="24.81640625" style="188" customWidth="1"/>
    <col min="6" max="6" width="18.26953125" style="188" customWidth="1"/>
    <col min="7" max="7" width="10" style="188" customWidth="1"/>
    <col min="8" max="8" width="11.453125" style="188" customWidth="1"/>
    <col min="9" max="9" width="11.81640625" style="188" customWidth="1"/>
    <col min="10" max="10" width="17.54296875" style="188" customWidth="1"/>
    <col min="11" max="11" width="12.7265625" style="188" customWidth="1"/>
    <col min="12" max="12" width="9.1796875" style="188" bestFit="1" customWidth="1"/>
    <col min="13" max="13" width="12.81640625" style="188" customWidth="1"/>
    <col min="14" max="14" width="12.1796875" style="188" bestFit="1" customWidth="1"/>
    <col min="15" max="15" width="12.26953125" style="188" customWidth="1"/>
    <col min="16" max="16" width="9.81640625" style="188" customWidth="1"/>
    <col min="17" max="18" width="11.7265625" style="188" bestFit="1" customWidth="1"/>
    <col min="19" max="19" width="10.7265625" style="188" bestFit="1" customWidth="1"/>
    <col min="20" max="16384" width="11.453125" style="188"/>
  </cols>
  <sheetData>
    <row r="1" spans="1:37" ht="12" customHeight="1" thickBot="1" x14ac:dyDescent="0.25">
      <c r="A1" s="187"/>
      <c r="B1" s="187"/>
      <c r="C1" s="187"/>
      <c r="D1" s="187"/>
      <c r="E1" s="187"/>
      <c r="F1" s="187"/>
      <c r="G1" s="187"/>
      <c r="H1" s="187"/>
      <c r="I1" s="187"/>
      <c r="J1" s="187"/>
      <c r="K1" s="187"/>
      <c r="L1" s="187"/>
      <c r="M1" s="187"/>
      <c r="N1" s="187"/>
      <c r="O1" s="187"/>
    </row>
    <row r="2" spans="1:37" ht="12" customHeight="1" thickBot="1" x14ac:dyDescent="0.35">
      <c r="A2" s="187"/>
      <c r="B2" s="187"/>
      <c r="C2" s="187"/>
      <c r="D2" s="189"/>
      <c r="E2" s="190"/>
      <c r="F2" s="191" t="s">
        <v>85</v>
      </c>
      <c r="G2" s="192"/>
      <c r="H2" s="192"/>
      <c r="I2" s="192"/>
      <c r="J2" s="192"/>
      <c r="K2" s="192"/>
      <c r="L2" s="192"/>
      <c r="M2" s="192"/>
      <c r="N2" s="192"/>
      <c r="O2" s="193"/>
      <c r="P2" s="194"/>
      <c r="Q2" s="195"/>
      <c r="R2" s="195"/>
      <c r="S2" s="196"/>
      <c r="T2" s="196"/>
      <c r="U2" s="196"/>
    </row>
    <row r="3" spans="1:37" ht="12" customHeight="1" thickBot="1" x14ac:dyDescent="0.35">
      <c r="A3" s="197" t="s">
        <v>1</v>
      </c>
      <c r="B3" s="197"/>
      <c r="C3" s="187"/>
      <c r="D3" s="189"/>
      <c r="E3" s="189"/>
      <c r="F3" s="198"/>
      <c r="G3" s="198"/>
      <c r="H3" s="198"/>
      <c r="I3" s="199">
        <f ca="1">TODAY()</f>
        <v>46255</v>
      </c>
      <c r="J3" s="199"/>
      <c r="K3" s="199"/>
      <c r="L3" s="198"/>
      <c r="M3" s="198"/>
      <c r="N3" s="198"/>
      <c r="O3" s="198"/>
      <c r="P3" s="200"/>
      <c r="Q3" s="200"/>
      <c r="R3" s="200"/>
      <c r="S3" s="200"/>
      <c r="T3" s="200"/>
      <c r="U3" s="200"/>
    </row>
    <row r="4" spans="1:37" ht="12" customHeight="1" x14ac:dyDescent="0.2">
      <c r="A4" s="187" t="s">
        <v>2</v>
      </c>
      <c r="B4" s="187"/>
      <c r="C4" s="187"/>
      <c r="D4" s="201" t="s">
        <v>4</v>
      </c>
      <c r="E4" s="202"/>
      <c r="F4" s="203">
        <v>110610</v>
      </c>
      <c r="G4" s="204" t="s">
        <v>5</v>
      </c>
      <c r="H4" s="205"/>
      <c r="I4" s="205"/>
      <c r="J4" s="205"/>
      <c r="K4" s="206" t="s">
        <v>6</v>
      </c>
      <c r="L4" s="207"/>
      <c r="M4" s="207"/>
      <c r="N4" s="207"/>
      <c r="O4" s="208"/>
      <c r="AG4" s="209"/>
      <c r="AH4" s="209"/>
      <c r="AI4" s="209"/>
      <c r="AJ4" s="210"/>
    </row>
    <row r="5" spans="1:37" ht="12" customHeight="1" x14ac:dyDescent="0.3">
      <c r="A5" s="187" t="s">
        <v>7</v>
      </c>
      <c r="B5" s="187"/>
      <c r="C5" s="187"/>
      <c r="D5" s="211" t="s">
        <v>8</v>
      </c>
      <c r="E5" s="212"/>
      <c r="F5" s="213">
        <v>43091</v>
      </c>
      <c r="G5" s="214" t="s">
        <v>86</v>
      </c>
      <c r="H5" s="215"/>
      <c r="I5" s="215"/>
      <c r="J5" s="216"/>
      <c r="K5" s="217" t="s">
        <v>87</v>
      </c>
      <c r="L5" s="218"/>
      <c r="M5" s="218"/>
      <c r="N5" s="218"/>
      <c r="O5" s="219"/>
      <c r="P5" s="209"/>
      <c r="AG5" s="209"/>
      <c r="AH5" s="209"/>
      <c r="AJ5" s="210"/>
    </row>
    <row r="6" spans="1:37" ht="12" customHeight="1" x14ac:dyDescent="0.3">
      <c r="A6" s="187" t="s">
        <v>11</v>
      </c>
      <c r="B6" s="187"/>
      <c r="C6" s="187"/>
      <c r="D6" s="211" t="s">
        <v>12</v>
      </c>
      <c r="E6" s="212"/>
      <c r="F6" s="220">
        <v>46378</v>
      </c>
      <c r="G6" s="221" t="s">
        <v>13</v>
      </c>
      <c r="H6" s="222"/>
      <c r="I6" s="222"/>
      <c r="J6" s="222"/>
      <c r="K6" s="223" t="s">
        <v>14</v>
      </c>
      <c r="L6" s="224" t="s">
        <v>15</v>
      </c>
      <c r="M6" s="224" t="s">
        <v>16</v>
      </c>
      <c r="N6" s="224" t="s">
        <v>17</v>
      </c>
      <c r="O6" s="225" t="s">
        <v>18</v>
      </c>
      <c r="P6" s="210"/>
      <c r="AG6" s="210"/>
      <c r="AH6" s="210"/>
      <c r="AI6" s="210"/>
      <c r="AJ6" s="210"/>
    </row>
    <row r="7" spans="1:37" ht="12" customHeight="1" x14ac:dyDescent="0.3">
      <c r="A7" s="187" t="s">
        <v>19</v>
      </c>
      <c r="B7" s="187"/>
      <c r="C7" s="187"/>
      <c r="D7" s="211" t="s">
        <v>20</v>
      </c>
      <c r="E7" s="212"/>
      <c r="F7" s="213">
        <v>44947</v>
      </c>
      <c r="G7" s="226" t="s">
        <v>19</v>
      </c>
      <c r="H7" s="227"/>
      <c r="I7" s="227"/>
      <c r="J7" s="227"/>
      <c r="K7" s="223"/>
      <c r="L7" s="228">
        <v>3</v>
      </c>
      <c r="M7" s="229">
        <v>0.02</v>
      </c>
      <c r="N7" s="230">
        <v>0</v>
      </c>
      <c r="O7" s="231">
        <v>0</v>
      </c>
      <c r="AF7" s="232"/>
      <c r="AJ7" s="210"/>
    </row>
    <row r="8" spans="1:37" ht="12" customHeight="1" x14ac:dyDescent="0.3">
      <c r="A8" s="187" t="s">
        <v>21</v>
      </c>
      <c r="B8" s="187"/>
      <c r="C8" s="187"/>
      <c r="D8" s="211" t="s">
        <v>22</v>
      </c>
      <c r="E8" s="212"/>
      <c r="F8" s="233">
        <f>IF(F7="","",YEAR(F7))</f>
        <v>2023</v>
      </c>
      <c r="G8" s="221" t="s">
        <v>88</v>
      </c>
      <c r="H8" s="222"/>
      <c r="I8" s="222"/>
      <c r="J8" s="222"/>
      <c r="K8" s="223"/>
      <c r="L8" s="234">
        <f>IF(OR($L$7="",F8=""),"",VLOOKUP($F$8,Tabla49[#All],2,0)*$L$7)</f>
        <v>3480000</v>
      </c>
      <c r="M8" s="234">
        <f>M7*F11</f>
        <v>1325067.56</v>
      </c>
      <c r="N8" s="234"/>
      <c r="O8" s="235">
        <f>IF(O7="","",O7)</f>
        <v>0</v>
      </c>
      <c r="AJ8" s="210"/>
    </row>
    <row r="9" spans="1:37" ht="12" customHeight="1" thickBot="1" x14ac:dyDescent="0.35">
      <c r="A9" s="187" t="s">
        <v>24</v>
      </c>
      <c r="B9" s="187"/>
      <c r="C9" s="187"/>
      <c r="D9" s="236" t="s">
        <v>25</v>
      </c>
      <c r="E9" s="237"/>
      <c r="F9" s="238">
        <f>+F7-F5</f>
        <v>1856</v>
      </c>
      <c r="G9" s="239" t="s">
        <v>89</v>
      </c>
      <c r="H9" s="240"/>
      <c r="I9" s="240"/>
      <c r="J9" s="240"/>
      <c r="K9" s="241" t="s">
        <v>27</v>
      </c>
      <c r="L9" s="242"/>
      <c r="M9" s="57">
        <f>VLOOKUP(F7,'[1]TRM Historica'!B:C,2,0)</f>
        <v>4631.6400000000003</v>
      </c>
      <c r="N9" s="58"/>
      <c r="O9" s="59"/>
      <c r="AJ9" s="210"/>
    </row>
    <row r="10" spans="1:37" ht="12" customHeight="1" thickBot="1" x14ac:dyDescent="0.35">
      <c r="A10" s="187" t="s">
        <v>28</v>
      </c>
      <c r="B10" s="187"/>
      <c r="C10" s="187"/>
      <c r="D10" s="243"/>
      <c r="E10" s="244"/>
      <c r="F10" s="245"/>
      <c r="G10" s="189"/>
      <c r="H10" s="189"/>
      <c r="I10" s="189"/>
      <c r="J10" s="189"/>
      <c r="K10" s="189"/>
      <c r="L10" s="189"/>
      <c r="M10" s="189"/>
      <c r="N10" s="189"/>
      <c r="O10" s="189"/>
      <c r="X10" s="246"/>
      <c r="Y10" s="246"/>
      <c r="Z10" s="246"/>
      <c r="AA10" s="246"/>
      <c r="AB10" s="246"/>
      <c r="AC10" s="246"/>
      <c r="AD10" s="246"/>
      <c r="AE10" s="247"/>
      <c r="AF10" s="247"/>
      <c r="AG10" s="210"/>
      <c r="AK10" s="210"/>
    </row>
    <row r="11" spans="1:37" ht="12" customHeight="1" thickBot="1" x14ac:dyDescent="0.35">
      <c r="A11" s="187" t="s">
        <v>29</v>
      </c>
      <c r="B11" s="187"/>
      <c r="C11" s="187"/>
      <c r="D11" s="248" t="s">
        <v>47</v>
      </c>
      <c r="E11" s="249"/>
      <c r="F11" s="250">
        <v>66253378</v>
      </c>
      <c r="G11" s="189"/>
      <c r="H11" s="251">
        <f>F11*2%</f>
        <v>1325067.56</v>
      </c>
      <c r="I11" s="189"/>
      <c r="J11" s="189"/>
      <c r="K11" s="252"/>
      <c r="L11" s="252"/>
      <c r="M11" s="252"/>
      <c r="N11" s="189"/>
      <c r="O11" s="189"/>
      <c r="X11" s="246"/>
      <c r="Y11" s="246"/>
      <c r="Z11" s="246"/>
      <c r="AA11" s="246"/>
      <c r="AB11" s="246"/>
      <c r="AC11" s="246"/>
      <c r="AD11" s="246"/>
      <c r="AE11" s="247"/>
      <c r="AF11" s="247"/>
      <c r="AG11" s="210"/>
      <c r="AK11" s="210"/>
    </row>
    <row r="12" spans="1:37" ht="12" customHeight="1" thickBot="1" x14ac:dyDescent="0.25">
      <c r="A12" s="187" t="s">
        <v>31</v>
      </c>
      <c r="B12" s="187"/>
      <c r="C12" s="187"/>
      <c r="D12" s="244"/>
      <c r="E12" s="244"/>
      <c r="F12" s="253"/>
      <c r="G12" s="253"/>
      <c r="H12" s="253"/>
      <c r="I12" s="253"/>
      <c r="J12" s="253"/>
      <c r="K12" s="253"/>
      <c r="L12" s="253"/>
      <c r="M12" s="244"/>
      <c r="N12" s="244"/>
      <c r="O12" s="244"/>
      <c r="P12" s="210"/>
      <c r="Q12" s="210"/>
      <c r="R12" s="210"/>
      <c r="S12" s="210"/>
    </row>
    <row r="13" spans="1:37" ht="12" customHeight="1" thickBot="1" x14ac:dyDescent="0.25">
      <c r="A13" s="187" t="s">
        <v>7</v>
      </c>
      <c r="B13" s="187"/>
      <c r="C13" s="187"/>
      <c r="D13" s="191" t="s">
        <v>32</v>
      </c>
      <c r="E13" s="192"/>
      <c r="F13" s="192"/>
      <c r="G13" s="192"/>
      <c r="H13" s="192"/>
      <c r="I13" s="192"/>
      <c r="J13" s="192"/>
      <c r="K13" s="192"/>
      <c r="L13" s="192"/>
      <c r="M13" s="192"/>
      <c r="N13" s="192"/>
      <c r="O13" s="193"/>
      <c r="P13" s="195"/>
      <c r="Q13" s="195"/>
      <c r="R13" s="195"/>
      <c r="S13" s="195"/>
    </row>
    <row r="14" spans="1:37" ht="27.75" customHeight="1" x14ac:dyDescent="0.2">
      <c r="A14" s="187" t="s">
        <v>33</v>
      </c>
      <c r="B14" s="187"/>
      <c r="C14" s="187"/>
      <c r="D14" s="254" t="s">
        <v>34</v>
      </c>
      <c r="E14" s="255" t="s">
        <v>35</v>
      </c>
      <c r="F14" s="255" t="s">
        <v>36</v>
      </c>
      <c r="G14" s="256" t="s">
        <v>37</v>
      </c>
      <c r="H14" s="256" t="s">
        <v>38</v>
      </c>
      <c r="I14" s="256" t="s">
        <v>39</v>
      </c>
      <c r="J14" s="256" t="s">
        <v>40</v>
      </c>
      <c r="K14" s="256" t="s">
        <v>41</v>
      </c>
      <c r="L14" s="256" t="s">
        <v>42</v>
      </c>
      <c r="M14" s="256" t="s">
        <v>43</v>
      </c>
      <c r="N14" s="256" t="s">
        <v>44</v>
      </c>
      <c r="O14" s="257" t="s">
        <v>45</v>
      </c>
      <c r="P14" s="188">
        <v>15102</v>
      </c>
    </row>
    <row r="15" spans="1:37" ht="12" customHeight="1" x14ac:dyDescent="0.2">
      <c r="A15" s="187"/>
      <c r="B15" s="187"/>
      <c r="C15" s="187"/>
      <c r="D15" s="258">
        <v>1</v>
      </c>
      <c r="E15" s="259" t="s">
        <v>90</v>
      </c>
      <c r="F15" s="260" t="s">
        <v>47</v>
      </c>
      <c r="G15" s="261">
        <v>0</v>
      </c>
      <c r="H15" s="92" t="str">
        <f t="shared" ref="H15:H24" si="0">IF(OR(G15="Digite Indice",G15=""),"",IF(F15="Valor Global","Valor Global",F15+(((F15*G15)/($F$6-$F$5))*$F$9)))</f>
        <v>Valor Global</v>
      </c>
      <c r="I15" s="87">
        <v>12542964</v>
      </c>
      <c r="J15" s="90">
        <f t="shared" ref="J15:J24" si="1">IF(OR(I15="",I15="Digite valor"),"",IF(H15="Valor Global",100%,IF(H15/I15&gt;100%,100%,H15/I15)))</f>
        <v>1</v>
      </c>
      <c r="K15" s="260">
        <v>12542964</v>
      </c>
      <c r="L15" s="261">
        <v>0</v>
      </c>
      <c r="M15" s="92">
        <f t="shared" ref="M15:M24" si="2">IF(OR(L15="",L15="Digite Porcentaje"),"",I15-(I15*L15))</f>
        <v>12542964</v>
      </c>
      <c r="N15" s="93">
        <f t="shared" ref="N15:N24" si="3">IF(M15="","",IF(M15&gt;=K15,K15,M15))</f>
        <v>12542964</v>
      </c>
      <c r="O15" s="94">
        <f t="shared" ref="O15:O24" si="4">IF(N15="","",N15*J15)</f>
        <v>12542964</v>
      </c>
    </row>
    <row r="16" spans="1:37" ht="12" customHeight="1" x14ac:dyDescent="0.2">
      <c r="A16" s="187" t="s">
        <v>55</v>
      </c>
      <c r="B16" s="187"/>
      <c r="C16" s="187"/>
      <c r="D16" s="258">
        <v>2</v>
      </c>
      <c r="E16" s="259"/>
      <c r="F16" s="260"/>
      <c r="G16" s="261"/>
      <c r="H16" s="92"/>
      <c r="I16" s="87"/>
      <c r="J16" s="90"/>
      <c r="K16" s="260"/>
      <c r="L16" s="261"/>
      <c r="M16" s="92"/>
      <c r="N16" s="93"/>
      <c r="O16" s="94"/>
    </row>
    <row r="17" spans="1:19" ht="12" customHeight="1" x14ac:dyDescent="0.2">
      <c r="A17" s="187" t="s">
        <v>55</v>
      </c>
      <c r="B17" s="187"/>
      <c r="C17" s="187"/>
      <c r="D17" s="258">
        <v>3</v>
      </c>
      <c r="E17" s="259"/>
      <c r="F17" s="260"/>
      <c r="G17" s="261"/>
      <c r="H17" s="92"/>
      <c r="I17" s="87"/>
      <c r="J17" s="90"/>
      <c r="K17" s="260"/>
      <c r="L17" s="261"/>
      <c r="M17" s="92"/>
      <c r="N17" s="93"/>
      <c r="O17" s="94"/>
    </row>
    <row r="18" spans="1:19" ht="12" customHeight="1" x14ac:dyDescent="0.2">
      <c r="A18" s="187" t="s">
        <v>55</v>
      </c>
      <c r="B18" s="187"/>
      <c r="C18" s="187"/>
      <c r="D18" s="258"/>
      <c r="E18" s="259"/>
      <c r="F18" s="260"/>
      <c r="G18" s="261"/>
      <c r="H18" s="92"/>
      <c r="I18" s="260"/>
      <c r="J18" s="90"/>
      <c r="K18" s="260"/>
      <c r="L18" s="261"/>
      <c r="M18" s="92"/>
      <c r="N18" s="93"/>
      <c r="O18" s="94"/>
    </row>
    <row r="19" spans="1:19" ht="12" customHeight="1" x14ac:dyDescent="0.2">
      <c r="A19" s="187" t="s">
        <v>55</v>
      </c>
      <c r="B19" s="187"/>
      <c r="C19" s="187"/>
      <c r="D19" s="258"/>
      <c r="E19" s="259" t="str">
        <f t="shared" ref="E19:E24" si="5">IF(D19="","",IF(D19&lt;&gt;"","Digite Descripción",""))</f>
        <v/>
      </c>
      <c r="F19" s="260" t="str">
        <f t="shared" ref="F19:F24" si="6">IF(AND(E19&lt;&gt;"Digite Descripción",E19&lt;&gt;""),"Digite Valor","")</f>
        <v/>
      </c>
      <c r="G19" s="261" t="str">
        <f t="shared" ref="G19:G24" si="7">IF(AND(F19&lt;&gt;"Digite Valor",F19&lt;&gt;""),"Digite Indice","")</f>
        <v/>
      </c>
      <c r="H19" s="92" t="str">
        <f t="shared" si="0"/>
        <v/>
      </c>
      <c r="I19" s="260" t="str">
        <f t="shared" ref="I19:I24" si="8">IF(H19="","","Digite valor")</f>
        <v/>
      </c>
      <c r="J19" s="90" t="str">
        <f t="shared" si="1"/>
        <v/>
      </c>
      <c r="K19" s="260" t="str">
        <f t="shared" ref="K19:K24" si="9">IF(J19="","","Digite valor")</f>
        <v/>
      </c>
      <c r="L19" s="261" t="str">
        <f t="shared" ref="L19:L24" si="10">IF(OR(K19="",K19="Digite valor"),"","Digite Porcentaje")</f>
        <v/>
      </c>
      <c r="M19" s="92" t="str">
        <f t="shared" si="2"/>
        <v/>
      </c>
      <c r="N19" s="93" t="str">
        <f t="shared" si="3"/>
        <v/>
      </c>
      <c r="O19" s="94" t="str">
        <f t="shared" si="4"/>
        <v/>
      </c>
    </row>
    <row r="20" spans="1:19" ht="12" customHeight="1" x14ac:dyDescent="0.2">
      <c r="A20" s="187" t="s">
        <v>91</v>
      </c>
      <c r="B20" s="187"/>
      <c r="C20" s="187"/>
      <c r="D20" s="258"/>
      <c r="E20" s="259" t="str">
        <f t="shared" si="5"/>
        <v/>
      </c>
      <c r="F20" s="260" t="str">
        <f t="shared" si="6"/>
        <v/>
      </c>
      <c r="G20" s="261" t="str">
        <f t="shared" si="7"/>
        <v/>
      </c>
      <c r="H20" s="92" t="str">
        <f t="shared" si="0"/>
        <v/>
      </c>
      <c r="I20" s="260" t="str">
        <f t="shared" si="8"/>
        <v/>
      </c>
      <c r="J20" s="90" t="str">
        <f t="shared" si="1"/>
        <v/>
      </c>
      <c r="K20" s="260" t="str">
        <f t="shared" si="9"/>
        <v/>
      </c>
      <c r="L20" s="261" t="str">
        <f t="shared" si="10"/>
        <v/>
      </c>
      <c r="M20" s="92" t="str">
        <f t="shared" si="2"/>
        <v/>
      </c>
      <c r="N20" s="93" t="str">
        <f t="shared" si="3"/>
        <v/>
      </c>
      <c r="O20" s="94" t="str">
        <f t="shared" si="4"/>
        <v/>
      </c>
    </row>
    <row r="21" spans="1:19" ht="12" customHeight="1" x14ac:dyDescent="0.2">
      <c r="A21" s="187" t="s">
        <v>55</v>
      </c>
      <c r="B21" s="187"/>
      <c r="C21" s="187"/>
      <c r="D21" s="258"/>
      <c r="E21" s="259" t="str">
        <f t="shared" si="5"/>
        <v/>
      </c>
      <c r="F21" s="260" t="str">
        <f t="shared" si="6"/>
        <v/>
      </c>
      <c r="G21" s="261" t="str">
        <f t="shared" si="7"/>
        <v/>
      </c>
      <c r="H21" s="92" t="str">
        <f t="shared" si="0"/>
        <v/>
      </c>
      <c r="I21" s="260" t="str">
        <f t="shared" si="8"/>
        <v/>
      </c>
      <c r="J21" s="90" t="str">
        <f t="shared" si="1"/>
        <v/>
      </c>
      <c r="K21" s="260" t="str">
        <f t="shared" si="9"/>
        <v/>
      </c>
      <c r="L21" s="261" t="str">
        <f t="shared" si="10"/>
        <v/>
      </c>
      <c r="M21" s="92" t="str">
        <f t="shared" si="2"/>
        <v/>
      </c>
      <c r="N21" s="93" t="str">
        <f t="shared" si="3"/>
        <v/>
      </c>
      <c r="O21" s="94" t="str">
        <f t="shared" si="4"/>
        <v/>
      </c>
    </row>
    <row r="22" spans="1:19" ht="12" customHeight="1" x14ac:dyDescent="0.2">
      <c r="A22" s="187"/>
      <c r="B22" s="187"/>
      <c r="C22" s="187"/>
      <c r="D22" s="258"/>
      <c r="E22" s="259" t="str">
        <f t="shared" si="5"/>
        <v/>
      </c>
      <c r="F22" s="260" t="str">
        <f t="shared" si="6"/>
        <v/>
      </c>
      <c r="G22" s="261" t="str">
        <f t="shared" si="7"/>
        <v/>
      </c>
      <c r="H22" s="92" t="str">
        <f t="shared" si="0"/>
        <v/>
      </c>
      <c r="I22" s="260" t="str">
        <f t="shared" si="8"/>
        <v/>
      </c>
      <c r="J22" s="90" t="str">
        <f t="shared" si="1"/>
        <v/>
      </c>
      <c r="K22" s="260" t="str">
        <f t="shared" si="9"/>
        <v/>
      </c>
      <c r="L22" s="261" t="str">
        <f t="shared" si="10"/>
        <v/>
      </c>
      <c r="M22" s="92" t="str">
        <f t="shared" si="2"/>
        <v/>
      </c>
      <c r="N22" s="93" t="str">
        <f t="shared" si="3"/>
        <v/>
      </c>
      <c r="O22" s="94" t="str">
        <f t="shared" si="4"/>
        <v/>
      </c>
    </row>
    <row r="23" spans="1:19" ht="12" customHeight="1" x14ac:dyDescent="0.25">
      <c r="A23" s="262" t="s">
        <v>58</v>
      </c>
      <c r="B23" s="263" t="s">
        <v>15</v>
      </c>
      <c r="C23" s="187"/>
      <c r="D23" s="258"/>
      <c r="E23" s="259" t="str">
        <f t="shared" si="5"/>
        <v/>
      </c>
      <c r="F23" s="260" t="str">
        <f t="shared" si="6"/>
        <v/>
      </c>
      <c r="G23" s="261" t="str">
        <f t="shared" si="7"/>
        <v/>
      </c>
      <c r="H23" s="92" t="str">
        <f t="shared" si="0"/>
        <v/>
      </c>
      <c r="I23" s="260" t="str">
        <f t="shared" si="8"/>
        <v/>
      </c>
      <c r="J23" s="90" t="str">
        <f t="shared" si="1"/>
        <v/>
      </c>
      <c r="K23" s="260" t="str">
        <f t="shared" si="9"/>
        <v/>
      </c>
      <c r="L23" s="261" t="str">
        <f t="shared" si="10"/>
        <v/>
      </c>
      <c r="M23" s="92" t="str">
        <f t="shared" si="2"/>
        <v/>
      </c>
      <c r="N23" s="93" t="str">
        <f t="shared" si="3"/>
        <v/>
      </c>
      <c r="O23" s="94" t="str">
        <f t="shared" si="4"/>
        <v/>
      </c>
    </row>
    <row r="24" spans="1:19" ht="12" customHeight="1" thickBot="1" x14ac:dyDescent="0.25">
      <c r="A24" s="264">
        <v>2003</v>
      </c>
      <c r="B24" s="265">
        <v>332000</v>
      </c>
      <c r="C24" s="187"/>
      <c r="D24" s="266"/>
      <c r="E24" s="267" t="str">
        <f t="shared" si="5"/>
        <v/>
      </c>
      <c r="F24" s="268" t="str">
        <f t="shared" si="6"/>
        <v/>
      </c>
      <c r="G24" s="269" t="str">
        <f t="shared" si="7"/>
        <v/>
      </c>
      <c r="H24" s="270" t="str">
        <f t="shared" si="0"/>
        <v/>
      </c>
      <c r="I24" s="268" t="str">
        <f t="shared" si="8"/>
        <v/>
      </c>
      <c r="J24" s="271" t="str">
        <f t="shared" si="1"/>
        <v/>
      </c>
      <c r="K24" s="268" t="str">
        <f t="shared" si="9"/>
        <v/>
      </c>
      <c r="L24" s="269" t="str">
        <f t="shared" si="10"/>
        <v/>
      </c>
      <c r="M24" s="270" t="str">
        <f t="shared" si="2"/>
        <v/>
      </c>
      <c r="N24" s="272" t="str">
        <f t="shared" si="3"/>
        <v/>
      </c>
      <c r="O24" s="273" t="str">
        <f t="shared" si="4"/>
        <v/>
      </c>
    </row>
    <row r="25" spans="1:19" ht="12" customHeight="1" thickBot="1" x14ac:dyDescent="0.35">
      <c r="A25" s="264">
        <v>2004</v>
      </c>
      <c r="B25" s="265">
        <v>358000</v>
      </c>
      <c r="C25" s="187"/>
      <c r="D25" s="198" t="s">
        <v>59</v>
      </c>
      <c r="E25" s="198"/>
      <c r="F25" s="253"/>
      <c r="G25" s="253"/>
      <c r="H25" s="274"/>
      <c r="I25" s="274"/>
      <c r="J25" s="198"/>
      <c r="K25" s="189"/>
      <c r="L25" s="275" t="s">
        <v>60</v>
      </c>
      <c r="M25" s="276"/>
      <c r="N25" s="276"/>
      <c r="O25" s="277">
        <f>IF(O15="","",IF(F11="",SUM(O15:O24),IF(F11&lt;SUM(O15:O24),F11,SUM(O15:O24))))</f>
        <v>12542964</v>
      </c>
    </row>
    <row r="26" spans="1:19" ht="12" customHeight="1" x14ac:dyDescent="0.3">
      <c r="A26" s="264">
        <v>2005</v>
      </c>
      <c r="B26" s="265">
        <v>381500</v>
      </c>
      <c r="C26" s="187"/>
      <c r="D26" s="127" t="s">
        <v>92</v>
      </c>
      <c r="E26" s="128"/>
      <c r="F26" s="129"/>
      <c r="G26" s="189"/>
      <c r="H26" s="189"/>
      <c r="I26" s="189"/>
      <c r="J26" s="189"/>
      <c r="K26" s="189"/>
      <c r="L26" s="278" t="s">
        <v>62</v>
      </c>
      <c r="M26" s="279"/>
      <c r="N26" s="279"/>
      <c r="O26" s="133">
        <f>IF(O25="","",IF(AND($L$8&gt;$M$8,$L$8&gt;$N$8,$L$8&gt;$O$8),$L$8,IF(AND($M$8&gt;$L$8,$M$8&gt;$N$8,$M$8&gt;$O$8),$M$8,IF(AND($N$8&gt;$L$8,$N$8&gt;$M$8,$N$8&gt;$O$8),$N$8,$O$8))))</f>
        <v>3480000</v>
      </c>
    </row>
    <row r="27" spans="1:19" ht="12" customHeight="1" thickBot="1" x14ac:dyDescent="0.35">
      <c r="A27" s="264">
        <v>2006</v>
      </c>
      <c r="B27" s="265">
        <v>408000</v>
      </c>
      <c r="C27" s="187"/>
      <c r="D27" s="280" t="s">
        <v>51</v>
      </c>
      <c r="E27" s="281"/>
      <c r="F27" s="282"/>
      <c r="G27" s="189"/>
      <c r="H27" s="189"/>
      <c r="I27" s="283"/>
      <c r="J27" s="189"/>
      <c r="K27" s="189"/>
      <c r="L27" s="284" t="s">
        <v>63</v>
      </c>
      <c r="M27" s="285"/>
      <c r="N27" s="285"/>
      <c r="O27" s="286">
        <f>IF(O25="","",IF(O25-O26&gt;0,O25-O26,0))</f>
        <v>9062964</v>
      </c>
    </row>
    <row r="28" spans="1:19" ht="12" customHeight="1" thickBot="1" x14ac:dyDescent="0.35">
      <c r="A28" s="264">
        <v>2007</v>
      </c>
      <c r="B28" s="265">
        <v>433700</v>
      </c>
      <c r="C28" s="187"/>
      <c r="D28" s="143" t="s">
        <v>64</v>
      </c>
      <c r="E28" s="144"/>
      <c r="F28" s="145"/>
      <c r="G28" s="287"/>
      <c r="H28" s="287"/>
      <c r="I28" s="287"/>
      <c r="J28" s="287"/>
      <c r="K28" s="287"/>
      <c r="L28" s="287"/>
      <c r="M28" s="287"/>
      <c r="N28" s="287"/>
      <c r="O28" s="287"/>
      <c r="P28" s="288"/>
      <c r="Q28" s="288"/>
      <c r="R28" s="288"/>
      <c r="S28" s="288"/>
    </row>
    <row r="29" spans="1:19" ht="12" customHeight="1" thickBot="1" x14ac:dyDescent="0.25">
      <c r="A29" s="264">
        <v>2008</v>
      </c>
      <c r="B29" s="265">
        <v>461500</v>
      </c>
      <c r="C29" s="187"/>
      <c r="D29" s="187"/>
      <c r="E29" s="289"/>
      <c r="F29" s="290"/>
      <c r="G29" s="187"/>
      <c r="H29" s="187"/>
      <c r="I29" s="187"/>
      <c r="J29" s="187"/>
      <c r="K29" s="187"/>
      <c r="L29" s="187"/>
      <c r="M29" s="187"/>
      <c r="N29" s="187"/>
      <c r="O29" s="187"/>
    </row>
    <row r="30" spans="1:19" ht="38.25" customHeight="1" x14ac:dyDescent="0.2">
      <c r="A30" s="264">
        <v>2009</v>
      </c>
      <c r="B30" s="265">
        <v>496900</v>
      </c>
      <c r="C30" s="187"/>
      <c r="D30" s="291" t="s">
        <v>93</v>
      </c>
      <c r="E30" s="292"/>
      <c r="F30" s="292"/>
      <c r="G30" s="292"/>
      <c r="H30" s="292"/>
      <c r="I30" s="292"/>
      <c r="J30" s="292"/>
      <c r="K30" s="292"/>
      <c r="L30" s="292"/>
      <c r="M30" s="292"/>
      <c r="N30" s="292"/>
      <c r="O30" s="293"/>
    </row>
    <row r="31" spans="1:19" ht="48.75" customHeight="1" thickBot="1" x14ac:dyDescent="0.25">
      <c r="A31" s="264">
        <v>2010</v>
      </c>
      <c r="B31" s="265">
        <v>515000</v>
      </c>
      <c r="C31" s="187"/>
      <c r="D31" s="294"/>
      <c r="E31" s="295"/>
      <c r="F31" s="295"/>
      <c r="G31" s="295"/>
      <c r="H31" s="295"/>
      <c r="I31" s="295"/>
      <c r="J31" s="295"/>
      <c r="K31" s="295"/>
      <c r="L31" s="295"/>
      <c r="M31" s="295"/>
      <c r="N31" s="295"/>
      <c r="O31" s="296"/>
    </row>
    <row r="32" spans="1:19" ht="12" customHeight="1" x14ac:dyDescent="0.2">
      <c r="A32" s="264">
        <v>2011</v>
      </c>
      <c r="B32" s="265">
        <v>535600</v>
      </c>
      <c r="C32" s="187"/>
      <c r="D32" s="187"/>
      <c r="E32" s="289"/>
      <c r="F32" s="297"/>
      <c r="G32" s="297"/>
      <c r="H32" s="297"/>
      <c r="I32" s="297"/>
      <c r="J32" s="297"/>
      <c r="K32" s="297"/>
      <c r="L32" s="289"/>
      <c r="M32" s="289"/>
      <c r="N32" s="289"/>
      <c r="O32" s="289"/>
    </row>
    <row r="33" spans="1:15" ht="12" customHeight="1" thickBot="1" x14ac:dyDescent="0.25">
      <c r="A33" s="264">
        <v>2012</v>
      </c>
      <c r="B33" s="265">
        <v>566700</v>
      </c>
      <c r="C33" s="187"/>
      <c r="D33" s="187"/>
      <c r="E33" s="289"/>
      <c r="F33" s="297"/>
      <c r="G33" s="297"/>
      <c r="H33" s="297"/>
      <c r="I33" s="297"/>
      <c r="J33" s="297"/>
      <c r="K33" s="297"/>
      <c r="L33" s="289"/>
      <c r="M33" s="289"/>
      <c r="N33" s="289"/>
      <c r="O33" s="289"/>
    </row>
    <row r="34" spans="1:15" ht="42.75" customHeight="1" x14ac:dyDescent="0.2">
      <c r="A34" s="187">
        <v>2013</v>
      </c>
      <c r="B34" s="298">
        <v>589500</v>
      </c>
      <c r="C34" s="187"/>
      <c r="D34" s="299" t="s">
        <v>94</v>
      </c>
      <c r="E34" s="300"/>
      <c r="F34" s="300"/>
      <c r="G34" s="300"/>
      <c r="H34" s="300"/>
      <c r="I34" s="300"/>
      <c r="J34" s="300"/>
      <c r="K34" s="300"/>
      <c r="L34" s="300"/>
      <c r="M34" s="300"/>
      <c r="N34" s="300"/>
      <c r="O34" s="301"/>
    </row>
    <row r="35" spans="1:15" ht="42.75" customHeight="1" x14ac:dyDescent="0.2">
      <c r="A35" s="187">
        <v>2014</v>
      </c>
      <c r="B35" s="298">
        <v>616000</v>
      </c>
      <c r="C35" s="187"/>
      <c r="D35" s="302"/>
      <c r="E35" s="303"/>
      <c r="F35" s="303"/>
      <c r="G35" s="303"/>
      <c r="H35" s="303"/>
      <c r="I35" s="303"/>
      <c r="J35" s="303"/>
      <c r="K35" s="303"/>
      <c r="L35" s="303"/>
      <c r="M35" s="303"/>
      <c r="N35" s="303"/>
      <c r="O35" s="304"/>
    </row>
    <row r="36" spans="1:15" ht="21.75" customHeight="1" x14ac:dyDescent="0.2">
      <c r="A36" s="187">
        <v>2015</v>
      </c>
      <c r="B36" s="298">
        <v>644350</v>
      </c>
      <c r="C36" s="187"/>
      <c r="D36" s="302"/>
      <c r="E36" s="303"/>
      <c r="F36" s="303"/>
      <c r="G36" s="303"/>
      <c r="H36" s="303"/>
      <c r="I36" s="303"/>
      <c r="J36" s="303"/>
      <c r="K36" s="303"/>
      <c r="L36" s="303"/>
      <c r="M36" s="303"/>
      <c r="N36" s="303"/>
      <c r="O36" s="304"/>
    </row>
    <row r="37" spans="1:15" ht="12" customHeight="1" thickBot="1" x14ac:dyDescent="0.25">
      <c r="A37" s="187">
        <v>2016</v>
      </c>
      <c r="B37" s="298">
        <v>689455</v>
      </c>
      <c r="C37" s="187"/>
      <c r="D37" s="305"/>
      <c r="E37" s="306"/>
      <c r="F37" s="306"/>
      <c r="G37" s="306"/>
      <c r="H37" s="306"/>
      <c r="I37" s="306"/>
      <c r="J37" s="306"/>
      <c r="K37" s="306"/>
      <c r="L37" s="306"/>
      <c r="M37" s="306"/>
      <c r="N37" s="306"/>
      <c r="O37" s="307"/>
    </row>
    <row r="38" spans="1:15" ht="12" customHeight="1" thickBot="1" x14ac:dyDescent="0.25">
      <c r="A38" s="187">
        <v>2017</v>
      </c>
      <c r="B38" s="298">
        <v>737717</v>
      </c>
      <c r="C38" s="187"/>
      <c r="D38" s="308"/>
      <c r="E38" s="308"/>
      <c r="F38" s="308"/>
      <c r="G38" s="308"/>
      <c r="H38" s="308"/>
      <c r="I38" s="308"/>
      <c r="J38" s="308"/>
      <c r="K38" s="308"/>
      <c r="L38" s="308"/>
      <c r="M38" s="308"/>
      <c r="N38" s="308"/>
      <c r="O38" s="308"/>
    </row>
    <row r="39" spans="1:15" ht="12" customHeight="1" x14ac:dyDescent="0.25">
      <c r="A39" s="187">
        <v>2018</v>
      </c>
      <c r="B39" s="298">
        <v>781242</v>
      </c>
      <c r="C39" s="187"/>
      <c r="D39" s="309" t="s">
        <v>95</v>
      </c>
      <c r="E39" s="310"/>
      <c r="F39" s="310"/>
      <c r="G39" s="310"/>
      <c r="H39" s="310"/>
      <c r="I39" s="310"/>
      <c r="J39" s="310"/>
      <c r="K39" s="310"/>
      <c r="L39" s="310"/>
      <c r="M39" s="310"/>
      <c r="N39" s="310"/>
      <c r="O39" s="311"/>
    </row>
    <row r="40" spans="1:15" ht="12" customHeight="1" thickBot="1" x14ac:dyDescent="0.25">
      <c r="A40" s="187">
        <v>2019</v>
      </c>
      <c r="B40" s="298">
        <v>828616</v>
      </c>
      <c r="C40" s="187"/>
      <c r="D40" s="312"/>
      <c r="E40" s="313"/>
      <c r="F40" s="314"/>
      <c r="G40" s="314"/>
      <c r="H40" s="313"/>
      <c r="I40" s="313"/>
      <c r="J40" s="314"/>
      <c r="K40" s="314"/>
      <c r="L40" s="313"/>
      <c r="M40" s="313"/>
      <c r="N40" s="313"/>
      <c r="O40" s="315"/>
    </row>
    <row r="41" spans="1:15" ht="12" customHeight="1" x14ac:dyDescent="0.3">
      <c r="A41" s="1">
        <v>2020</v>
      </c>
      <c r="B41" s="170">
        <v>877803</v>
      </c>
      <c r="C41" s="187"/>
      <c r="D41" s="187" t="s">
        <v>96</v>
      </c>
      <c r="E41" s="289"/>
      <c r="F41" s="297"/>
      <c r="G41" s="297"/>
      <c r="H41" s="289"/>
      <c r="I41" s="289"/>
      <c r="J41" s="297"/>
      <c r="K41" s="297"/>
      <c r="L41" s="289"/>
      <c r="M41" s="289"/>
      <c r="N41" s="289"/>
      <c r="O41" s="289"/>
    </row>
    <row r="42" spans="1:15" ht="12" customHeight="1" x14ac:dyDescent="0.2">
      <c r="A42" s="264">
        <v>2021</v>
      </c>
      <c r="B42" s="316">
        <v>908526</v>
      </c>
      <c r="E42" s="317"/>
      <c r="F42" s="318"/>
      <c r="G42" s="319"/>
      <c r="H42" s="320"/>
      <c r="I42" s="320"/>
      <c r="J42" s="319"/>
      <c r="K42" s="319"/>
      <c r="L42" s="320"/>
      <c r="M42" s="320"/>
      <c r="N42" s="320"/>
      <c r="O42" s="320"/>
    </row>
    <row r="43" spans="1:15" ht="12" customHeight="1" x14ac:dyDescent="0.2">
      <c r="A43" s="264">
        <v>2022</v>
      </c>
      <c r="B43" s="316">
        <v>1000000</v>
      </c>
      <c r="E43" s="317"/>
      <c r="F43" s="318"/>
      <c r="G43" s="319"/>
      <c r="H43" s="320"/>
      <c r="I43" s="320"/>
      <c r="J43" s="319"/>
      <c r="K43" s="319"/>
      <c r="L43" s="320"/>
      <c r="M43" s="320"/>
      <c r="N43" s="320"/>
      <c r="O43" s="320"/>
    </row>
    <row r="44" spans="1:15" ht="12" customHeight="1" x14ac:dyDescent="0.2">
      <c r="A44" s="264">
        <v>2023</v>
      </c>
      <c r="B44" s="316">
        <v>1160000</v>
      </c>
      <c r="E44" s="317"/>
      <c r="F44" s="318"/>
      <c r="G44" s="318"/>
      <c r="H44" s="320"/>
      <c r="I44" s="320"/>
      <c r="J44" s="318"/>
      <c r="K44" s="318"/>
      <c r="L44" s="317"/>
      <c r="M44" s="317"/>
      <c r="N44" s="317"/>
    </row>
    <row r="45" spans="1:15" ht="12" customHeight="1" x14ac:dyDescent="0.2">
      <c r="A45" s="187"/>
      <c r="B45" s="321"/>
      <c r="E45" s="317"/>
      <c r="F45" s="318"/>
      <c r="G45" s="318"/>
      <c r="H45" s="320"/>
      <c r="I45" s="320"/>
      <c r="J45" s="318"/>
      <c r="K45" s="318"/>
      <c r="L45" s="317"/>
      <c r="M45" s="317"/>
      <c r="N45" s="317"/>
    </row>
    <row r="46" spans="1:15" ht="12" customHeight="1" x14ac:dyDescent="0.2">
      <c r="F46" s="322"/>
      <c r="G46" s="318"/>
      <c r="H46" s="320"/>
      <c r="I46" s="320"/>
      <c r="J46" s="318"/>
      <c r="K46" s="318"/>
      <c r="L46" s="317"/>
      <c r="M46" s="317"/>
      <c r="N46" s="317"/>
    </row>
    <row r="47" spans="1:15" ht="12" customHeight="1" x14ac:dyDescent="0.2">
      <c r="F47" s="322"/>
      <c r="G47" s="318"/>
      <c r="H47" s="320"/>
      <c r="I47" s="320"/>
      <c r="J47" s="318"/>
      <c r="K47" s="318"/>
      <c r="L47" s="317"/>
      <c r="M47" s="317"/>
      <c r="N47" s="317"/>
    </row>
    <row r="48" spans="1:15" ht="12" customHeight="1" x14ac:dyDescent="0.2">
      <c r="F48" s="322"/>
      <c r="G48" s="322"/>
      <c r="H48" s="320"/>
      <c r="I48" s="322"/>
      <c r="J48" s="322"/>
      <c r="K48" s="322"/>
    </row>
    <row r="49" spans="6:11" ht="12" customHeight="1" x14ac:dyDescent="0.2">
      <c r="F49" s="322"/>
      <c r="G49" s="322"/>
      <c r="H49" s="320"/>
      <c r="I49" s="322"/>
      <c r="J49" s="322"/>
      <c r="K49" s="322"/>
    </row>
    <row r="50" spans="6:11" ht="12" customHeight="1" x14ac:dyDescent="0.2">
      <c r="G50" s="322"/>
      <c r="H50" s="322"/>
      <c r="I50" s="322"/>
      <c r="J50" s="322"/>
      <c r="K50" s="322"/>
    </row>
    <row r="51" spans="6:11" ht="12" customHeight="1" x14ac:dyDescent="0.2">
      <c r="G51" s="322"/>
      <c r="H51" s="322"/>
      <c r="I51" s="322"/>
      <c r="J51" s="322"/>
      <c r="K51" s="322"/>
    </row>
  </sheetData>
  <mergeCells count="29">
    <mergeCell ref="D30:O31"/>
    <mergeCell ref="D34:O37"/>
    <mergeCell ref="L25:N25"/>
    <mergeCell ref="D26:F26"/>
    <mergeCell ref="L26:N26"/>
    <mergeCell ref="D27:F27"/>
    <mergeCell ref="L27:N27"/>
    <mergeCell ref="D28:F28"/>
    <mergeCell ref="D9:E9"/>
    <mergeCell ref="G9:J9"/>
    <mergeCell ref="K9:L9"/>
    <mergeCell ref="M9:O9"/>
    <mergeCell ref="D11:E11"/>
    <mergeCell ref="D13:O13"/>
    <mergeCell ref="D6:E6"/>
    <mergeCell ref="G6:J6"/>
    <mergeCell ref="K6:K8"/>
    <mergeCell ref="D7:E7"/>
    <mergeCell ref="G7:J7"/>
    <mergeCell ref="D8:E8"/>
    <mergeCell ref="G8:J8"/>
    <mergeCell ref="F2:O2"/>
    <mergeCell ref="I3:K3"/>
    <mergeCell ref="D4:E4"/>
    <mergeCell ref="G4:J4"/>
    <mergeCell ref="K4:O4"/>
    <mergeCell ref="D5:E5"/>
    <mergeCell ref="G5:J5"/>
    <mergeCell ref="K5:O5"/>
  </mergeCells>
  <dataValidations count="3">
    <dataValidation type="list" allowBlank="1" showInputMessage="1" showErrorMessage="1" sqref="D27:F27" xr:uid="{7C3B3602-7753-4A3E-B1E6-54BD850E7186}">
      <formula1>$A$17:$A$22</formula1>
    </dataValidation>
    <dataValidation type="list" allowBlank="1" showInputMessage="1" showErrorMessage="1" sqref="G7" xr:uid="{B2B6F655-C6EF-4083-9087-E1917484D7FC}">
      <formula1>$A$4:$A$14</formula1>
    </dataValidation>
    <dataValidation type="list" allowBlank="1" showInputMessage="1" showErrorMessage="1" sqref="G29:O29" xr:uid="{C092E9CC-1284-4B09-AA1A-5009C6EDF0F1}">
      <formula1>$A$17:$A$21</formula1>
    </dataValidation>
  </dataValidations>
  <printOptions horizontalCentered="1" verticalCentered="1"/>
  <pageMargins left="0.25" right="0.25" top="0.75" bottom="0.75" header="0.3" footer="0.3"/>
  <pageSetup paperSize="9" scale="79" orientation="landscape" r:id="rId1"/>
  <headerFooter alignWithMargins="0">
    <oddFooter>&amp;L_x000D_&amp;1#&amp;"Calibri"&amp;10&amp;K000000 INTERNAL USE ONLY</oddFooter>
  </headerFooter>
  <drawing r:id="rId2"/>
  <legacyDrawing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F46B-2A14-4FBB-A65C-F9B49380882C}">
  <sheetPr>
    <pageSetUpPr fitToPage="1"/>
  </sheetPr>
  <dimension ref="A1:AK51"/>
  <sheetViews>
    <sheetView showGridLines="0" tabSelected="1" topLeftCell="C1" workbookViewId="0">
      <selection activeCell="M9" sqref="M9:O9"/>
    </sheetView>
  </sheetViews>
  <sheetFormatPr baseColWidth="10" defaultColWidth="11.453125" defaultRowHeight="12" customHeight="1" x14ac:dyDescent="0.2"/>
  <cols>
    <col min="1" max="1" width="8.453125" style="323" hidden="1" customWidth="1"/>
    <col min="2" max="2" width="3.54296875" style="323" hidden="1" customWidth="1"/>
    <col min="3" max="3" width="3.54296875" style="323" customWidth="1"/>
    <col min="4" max="4" width="8.81640625" style="323" customWidth="1"/>
    <col min="5" max="5" width="22.54296875" style="323" customWidth="1"/>
    <col min="6" max="6" width="20" style="323" customWidth="1"/>
    <col min="7" max="7" width="10" style="323" customWidth="1"/>
    <col min="8" max="8" width="12.7265625" style="323" customWidth="1"/>
    <col min="9" max="9" width="14.453125" style="323" customWidth="1"/>
    <col min="10" max="10" width="12.26953125" style="323" customWidth="1"/>
    <col min="11" max="11" width="12.7265625" style="323" customWidth="1"/>
    <col min="12" max="12" width="9.453125" style="323" bestFit="1" customWidth="1"/>
    <col min="13" max="13" width="12.81640625" style="323" customWidth="1"/>
    <col min="14" max="14" width="12.26953125" style="323" bestFit="1" customWidth="1"/>
    <col min="15" max="15" width="12.26953125" style="323" customWidth="1"/>
    <col min="16" max="16" width="9.81640625" style="323" customWidth="1"/>
    <col min="17" max="18" width="11.7265625" style="323" bestFit="1" customWidth="1"/>
    <col min="19" max="19" width="10.7265625" style="323" bestFit="1" customWidth="1"/>
    <col min="20" max="16384" width="11.453125" style="323"/>
  </cols>
  <sheetData>
    <row r="1" spans="1:37" ht="12" customHeight="1" thickBot="1" x14ac:dyDescent="0.25"/>
    <row r="2" spans="1:37" ht="12" customHeight="1" thickBot="1" x14ac:dyDescent="0.25">
      <c r="E2" s="324"/>
      <c r="F2" s="325" t="s">
        <v>85</v>
      </c>
      <c r="G2" s="326"/>
      <c r="H2" s="326"/>
      <c r="I2" s="326"/>
      <c r="J2" s="326"/>
      <c r="K2" s="326"/>
      <c r="L2" s="326"/>
      <c r="M2" s="326"/>
      <c r="N2" s="326"/>
      <c r="O2" s="327"/>
      <c r="P2" s="328"/>
      <c r="Q2" s="324"/>
      <c r="R2" s="324"/>
      <c r="S2" s="329"/>
      <c r="T2" s="329"/>
      <c r="U2" s="329"/>
    </row>
    <row r="3" spans="1:37" ht="12" customHeight="1" thickBot="1" x14ac:dyDescent="0.25">
      <c r="A3" s="330" t="s">
        <v>1</v>
      </c>
      <c r="B3" s="330"/>
      <c r="F3" s="331"/>
      <c r="G3" s="331"/>
      <c r="H3" s="331"/>
      <c r="I3" s="331"/>
      <c r="J3" s="331"/>
      <c r="K3" s="331"/>
      <c r="L3" s="331"/>
      <c r="M3" s="331"/>
      <c r="N3" s="331"/>
      <c r="O3" s="331"/>
      <c r="P3" s="331"/>
      <c r="Q3" s="331"/>
      <c r="R3" s="331"/>
      <c r="S3" s="331"/>
      <c r="T3" s="331"/>
      <c r="U3" s="331"/>
    </row>
    <row r="4" spans="1:37" ht="12" customHeight="1" x14ac:dyDescent="0.2">
      <c r="A4" s="323" t="s">
        <v>2</v>
      </c>
      <c r="D4" s="332" t="s">
        <v>4</v>
      </c>
      <c r="E4" s="333"/>
      <c r="F4" s="334">
        <v>53151066801</v>
      </c>
      <c r="G4" s="335" t="s">
        <v>5</v>
      </c>
      <c r="H4" s="336"/>
      <c r="I4" s="336"/>
      <c r="J4" s="337"/>
      <c r="K4" s="338" t="s">
        <v>6</v>
      </c>
      <c r="L4" s="339"/>
      <c r="M4" s="339"/>
      <c r="N4" s="339"/>
      <c r="O4" s="340"/>
      <c r="AG4" s="341"/>
      <c r="AH4" s="341"/>
      <c r="AI4" s="341"/>
      <c r="AJ4" s="342"/>
    </row>
    <row r="5" spans="1:37" ht="12" customHeight="1" x14ac:dyDescent="0.3">
      <c r="A5" s="323" t="s">
        <v>7</v>
      </c>
      <c r="D5" s="343" t="s">
        <v>8</v>
      </c>
      <c r="E5" s="344"/>
      <c r="F5" s="24">
        <v>43829</v>
      </c>
      <c r="G5" s="25">
        <v>27497</v>
      </c>
      <c r="H5" s="26"/>
      <c r="I5" s="26"/>
      <c r="J5" s="27"/>
      <c r="K5" s="345" t="s">
        <v>97</v>
      </c>
      <c r="L5" s="346"/>
      <c r="M5" s="346"/>
      <c r="N5" s="346"/>
      <c r="O5" s="347"/>
      <c r="P5" s="341"/>
      <c r="AG5" s="341"/>
      <c r="AH5" s="341"/>
      <c r="AJ5" s="342"/>
    </row>
    <row r="6" spans="1:37" ht="12" customHeight="1" x14ac:dyDescent="0.3">
      <c r="A6" s="323" t="s">
        <v>11</v>
      </c>
      <c r="D6" s="343" t="s">
        <v>12</v>
      </c>
      <c r="E6" s="344"/>
      <c r="F6" s="24">
        <v>44195</v>
      </c>
      <c r="G6" s="348" t="s">
        <v>13</v>
      </c>
      <c r="H6" s="349"/>
      <c r="I6" s="349"/>
      <c r="J6" s="350"/>
      <c r="K6" s="351" t="s">
        <v>14</v>
      </c>
      <c r="L6" s="352" t="s">
        <v>15</v>
      </c>
      <c r="M6" s="352" t="s">
        <v>16</v>
      </c>
      <c r="N6" s="352" t="s">
        <v>17</v>
      </c>
      <c r="O6" s="353" t="s">
        <v>18</v>
      </c>
      <c r="P6" s="342"/>
      <c r="AG6" s="342"/>
      <c r="AH6" s="342"/>
      <c r="AI6" s="342"/>
      <c r="AJ6" s="342"/>
    </row>
    <row r="7" spans="1:37" ht="12" customHeight="1" x14ac:dyDescent="0.3">
      <c r="A7" s="323" t="s">
        <v>19</v>
      </c>
      <c r="D7" s="343" t="s">
        <v>20</v>
      </c>
      <c r="E7" s="344"/>
      <c r="F7" s="24">
        <v>43851</v>
      </c>
      <c r="G7" s="36" t="s">
        <v>19</v>
      </c>
      <c r="H7" s="37"/>
      <c r="I7" s="37"/>
      <c r="J7" s="38"/>
      <c r="K7" s="351"/>
      <c r="L7" s="354">
        <v>1.5</v>
      </c>
      <c r="M7" s="355">
        <v>0.15</v>
      </c>
      <c r="N7" s="356">
        <v>0</v>
      </c>
      <c r="O7" s="357">
        <v>0</v>
      </c>
      <c r="AF7" s="358"/>
      <c r="AJ7" s="342"/>
    </row>
    <row r="8" spans="1:37" ht="12" customHeight="1" x14ac:dyDescent="0.3">
      <c r="A8" s="323" t="s">
        <v>21</v>
      </c>
      <c r="D8" s="343" t="s">
        <v>22</v>
      </c>
      <c r="E8" s="344"/>
      <c r="F8" s="44">
        <f>YEAR(F7)</f>
        <v>2020</v>
      </c>
      <c r="G8" s="348" t="s">
        <v>23</v>
      </c>
      <c r="H8" s="349"/>
      <c r="I8" s="349"/>
      <c r="J8" s="350"/>
      <c r="K8" s="351"/>
      <c r="L8" s="359">
        <f>IF(OR($L$7="",F8=""),"",VLOOKUP($F$8,Tabla4912[#All],2,0)*$L$7)</f>
        <v>1316704.5</v>
      </c>
      <c r="M8" s="359">
        <f>+M7*O25</f>
        <v>294147.14999999997</v>
      </c>
      <c r="N8" s="359"/>
      <c r="O8" s="360">
        <f>IF(O7="","",O7)</f>
        <v>0</v>
      </c>
      <c r="AJ8" s="342"/>
    </row>
    <row r="9" spans="1:37" ht="12" customHeight="1" thickBot="1" x14ac:dyDescent="0.35">
      <c r="A9" s="323" t="s">
        <v>24</v>
      </c>
      <c r="D9" s="361" t="s">
        <v>25</v>
      </c>
      <c r="E9" s="362"/>
      <c r="F9" s="51">
        <f>F7-F5</f>
        <v>22</v>
      </c>
      <c r="G9" s="52" t="s">
        <v>98</v>
      </c>
      <c r="H9" s="53"/>
      <c r="I9" s="53"/>
      <c r="J9" s="54"/>
      <c r="K9" s="363" t="s">
        <v>27</v>
      </c>
      <c r="L9" s="364"/>
      <c r="M9" s="365">
        <v>3320.77</v>
      </c>
      <c r="N9" s="366"/>
      <c r="O9" s="367"/>
      <c r="AJ9" s="342"/>
    </row>
    <row r="10" spans="1:37" ht="12" customHeight="1" thickBot="1" x14ac:dyDescent="0.25">
      <c r="A10" s="323" t="s">
        <v>28</v>
      </c>
      <c r="D10" s="368"/>
      <c r="E10" s="342"/>
      <c r="F10" s="369"/>
      <c r="X10" s="369"/>
      <c r="Y10" s="369"/>
      <c r="Z10" s="369"/>
      <c r="AA10" s="369"/>
      <c r="AB10" s="369"/>
      <c r="AC10" s="369"/>
      <c r="AD10" s="369"/>
      <c r="AE10" s="370"/>
      <c r="AF10" s="370"/>
      <c r="AG10" s="342"/>
      <c r="AK10" s="342"/>
    </row>
    <row r="11" spans="1:37" ht="12" customHeight="1" thickBot="1" x14ac:dyDescent="0.35">
      <c r="A11" s="323" t="s">
        <v>29</v>
      </c>
      <c r="D11" s="371" t="s">
        <v>47</v>
      </c>
      <c r="E11" s="372"/>
      <c r="F11" s="373">
        <v>475601423</v>
      </c>
      <c r="H11" s="374"/>
      <c r="I11" s="374"/>
      <c r="J11" s="375">
        <v>590.52</v>
      </c>
      <c r="K11" s="376">
        <v>3320.77</v>
      </c>
      <c r="L11" s="377">
        <f>J11*K11</f>
        <v>1960981.1003999999</v>
      </c>
      <c r="M11" s="378"/>
      <c r="X11" s="369"/>
      <c r="Y11" s="369"/>
      <c r="Z11" s="369"/>
      <c r="AA11" s="369"/>
      <c r="AB11" s="369"/>
      <c r="AC11" s="369"/>
      <c r="AD11" s="369"/>
      <c r="AE11" s="370"/>
      <c r="AF11" s="370"/>
      <c r="AG11" s="342"/>
      <c r="AK11" s="342"/>
    </row>
    <row r="12" spans="1:37" ht="12" customHeight="1" thickBot="1" x14ac:dyDescent="0.25">
      <c r="A12" s="323" t="s">
        <v>31</v>
      </c>
      <c r="D12" s="342"/>
      <c r="E12" s="342"/>
      <c r="F12" s="379"/>
      <c r="G12" s="379"/>
      <c r="H12" s="379"/>
      <c r="I12" s="379"/>
      <c r="J12" s="379"/>
      <c r="K12" s="379"/>
      <c r="L12" s="379"/>
      <c r="M12" s="342"/>
      <c r="N12" s="342"/>
      <c r="O12" s="342"/>
      <c r="P12" s="342"/>
      <c r="Q12" s="342"/>
      <c r="R12" s="342"/>
      <c r="S12" s="342"/>
    </row>
    <row r="13" spans="1:37" ht="12" customHeight="1" thickBot="1" x14ac:dyDescent="0.25">
      <c r="A13" s="323" t="s">
        <v>7</v>
      </c>
      <c r="D13" s="325" t="s">
        <v>32</v>
      </c>
      <c r="E13" s="326"/>
      <c r="F13" s="326"/>
      <c r="G13" s="326"/>
      <c r="H13" s="326"/>
      <c r="I13" s="326"/>
      <c r="J13" s="326"/>
      <c r="K13" s="326"/>
      <c r="L13" s="326"/>
      <c r="M13" s="326"/>
      <c r="N13" s="326"/>
      <c r="O13" s="327"/>
      <c r="P13" s="324"/>
      <c r="Q13" s="324"/>
      <c r="R13" s="324"/>
      <c r="S13" s="324"/>
    </row>
    <row r="14" spans="1:37" ht="27.75" customHeight="1" x14ac:dyDescent="0.2">
      <c r="A14" s="323" t="s">
        <v>33</v>
      </c>
      <c r="D14" s="380" t="s">
        <v>34</v>
      </c>
      <c r="E14" s="381" t="s">
        <v>35</v>
      </c>
      <c r="F14" s="381" t="s">
        <v>36</v>
      </c>
      <c r="G14" s="382" t="s">
        <v>37</v>
      </c>
      <c r="H14" s="382" t="s">
        <v>38</v>
      </c>
      <c r="I14" s="382" t="s">
        <v>39</v>
      </c>
      <c r="J14" s="382" t="s">
        <v>40</v>
      </c>
      <c r="K14" s="382" t="s">
        <v>41</v>
      </c>
      <c r="L14" s="382" t="s">
        <v>42</v>
      </c>
      <c r="M14" s="382" t="s">
        <v>43</v>
      </c>
      <c r="N14" s="382" t="s">
        <v>44</v>
      </c>
      <c r="O14" s="383" t="s">
        <v>45</v>
      </c>
    </row>
    <row r="15" spans="1:37" ht="12" customHeight="1" x14ac:dyDescent="0.2">
      <c r="D15" s="384">
        <v>1</v>
      </c>
      <c r="E15" s="87" t="s">
        <v>99</v>
      </c>
      <c r="F15" s="87" t="s">
        <v>47</v>
      </c>
      <c r="G15" s="88">
        <v>0</v>
      </c>
      <c r="H15" s="89" t="str">
        <f t="shared" ref="H15" si="0">IF(OR(G15="Digite Indice",G15=""),"",IF(F15="Valor Global","Valor Global",F15+(((F15*G15)/($F$6-$F$5))*$F$9)))</f>
        <v>Valor Global</v>
      </c>
      <c r="I15" s="87">
        <v>1960981.1</v>
      </c>
      <c r="J15" s="90">
        <f t="shared" ref="J15" si="1">IF(OR(I15="",I15="Digite valor"),"",IF(H15="Valor Global",100%,IF(H15/I15&gt;100%,100%,H15/I15)))</f>
        <v>1</v>
      </c>
      <c r="K15" s="87">
        <v>1960981</v>
      </c>
      <c r="L15" s="91">
        <v>0</v>
      </c>
      <c r="M15" s="89">
        <f t="shared" ref="M15" si="2">IF(OR(L15="",L15="Digite Porcentaje"),"",I15-(I15*L15))</f>
        <v>1960981.1</v>
      </c>
      <c r="N15" s="385">
        <f t="shared" ref="N15" si="3">IF(M15="","",IF(M15&gt;=K15,K15,M15))</f>
        <v>1960981</v>
      </c>
      <c r="O15" s="386">
        <f t="shared" ref="O15" si="4">IF(N15="","",N15*J15)</f>
        <v>1960981</v>
      </c>
    </row>
    <row r="16" spans="1:37" ht="12" customHeight="1" x14ac:dyDescent="0.2">
      <c r="A16" s="323" t="s">
        <v>55</v>
      </c>
      <c r="D16" s="384">
        <v>2</v>
      </c>
      <c r="E16" s="87" t="s">
        <v>100</v>
      </c>
      <c r="F16" s="87"/>
      <c r="G16" s="88"/>
      <c r="H16" s="89"/>
      <c r="I16" s="87"/>
      <c r="J16" s="90"/>
      <c r="K16" s="87"/>
      <c r="L16" s="91"/>
      <c r="M16" s="89"/>
      <c r="N16" s="385"/>
      <c r="O16" s="386"/>
    </row>
    <row r="17" spans="1:19" ht="12" customHeight="1" x14ac:dyDescent="0.2">
      <c r="A17" s="323" t="s">
        <v>55</v>
      </c>
      <c r="D17" s="384">
        <v>3</v>
      </c>
      <c r="E17" s="87" t="s">
        <v>101</v>
      </c>
      <c r="F17" s="387"/>
      <c r="G17" s="88"/>
      <c r="H17" s="89"/>
      <c r="I17" s="387"/>
      <c r="J17" s="90"/>
      <c r="K17" s="87"/>
      <c r="L17" s="91"/>
      <c r="M17" s="89"/>
      <c r="N17" s="385"/>
      <c r="O17" s="386"/>
    </row>
    <row r="18" spans="1:19" ht="12" customHeight="1" x14ac:dyDescent="0.2">
      <c r="A18" s="323" t="s">
        <v>55</v>
      </c>
      <c r="D18" s="384"/>
      <c r="E18" s="388"/>
      <c r="F18" s="387"/>
      <c r="G18" s="389"/>
      <c r="H18" s="390"/>
      <c r="I18" s="387"/>
      <c r="J18" s="391"/>
      <c r="K18" s="387"/>
      <c r="L18" s="389"/>
      <c r="M18" s="390"/>
      <c r="N18" s="392"/>
      <c r="O18" s="393"/>
    </row>
    <row r="19" spans="1:19" ht="12" customHeight="1" x14ac:dyDescent="0.2">
      <c r="A19" s="323" t="s">
        <v>102</v>
      </c>
      <c r="D19" s="384"/>
      <c r="E19" s="388" t="str">
        <f t="shared" ref="E19:E24" si="5">IF(D19="","",IF(D19&lt;&gt;"","Digite Descripción",""))</f>
        <v/>
      </c>
      <c r="F19" s="387" t="str">
        <f t="shared" ref="F19:F24" si="6">IF(AND(E19&lt;&gt;"Digite Descripción",E19&lt;&gt;""),"Digite Valor","")</f>
        <v/>
      </c>
      <c r="G19" s="389" t="str">
        <f t="shared" ref="G19:G24" si="7">IF(AND(F19&lt;&gt;"Digite Valor",F19&lt;&gt;""),"Digite Indice","")</f>
        <v/>
      </c>
      <c r="H19" s="390" t="str">
        <f t="shared" ref="H19:H24" si="8">IF(OR(G19="Digite Indice",G19=""),"",IF(F19="Valor Global","Valor Global",F19+(((F19*G19)/($F$6-$F$5))*$F$9)))</f>
        <v/>
      </c>
      <c r="I19" s="387" t="str">
        <f t="shared" ref="I19:I24" si="9">IF(H19="","","Digite valor")</f>
        <v/>
      </c>
      <c r="J19" s="391" t="str">
        <f t="shared" ref="J19:J24" si="10">IF(OR(I19="",I19="Digite valor"),"",IF(H19="Valor Global",100%,IF(H19/I19&gt;100%,100%,H19/I19)))</f>
        <v/>
      </c>
      <c r="K19" s="387" t="str">
        <f t="shared" ref="K19:K24" si="11">IF(J19="","","Digite valor")</f>
        <v/>
      </c>
      <c r="L19" s="389" t="str">
        <f t="shared" ref="L19:L24" si="12">IF(OR(K19="",K19="Digite valor"),"","Digite Porcentaje")</f>
        <v/>
      </c>
      <c r="M19" s="390" t="str">
        <f t="shared" ref="M19:M24" si="13">IF(OR(L19="",L19="Digite Porcentaje"),"",I19-(I19*L19))</f>
        <v/>
      </c>
      <c r="N19" s="392" t="str">
        <f t="shared" ref="N19:N24" si="14">IF(M19="","",IF(M19&gt;=K19,K19,M19))</f>
        <v/>
      </c>
      <c r="O19" s="393" t="str">
        <f t="shared" ref="O19:O24" si="15">IF(N19="","",N19*J19)</f>
        <v/>
      </c>
    </row>
    <row r="20" spans="1:19" ht="12" customHeight="1" x14ac:dyDescent="0.2">
      <c r="A20" s="323" t="s">
        <v>91</v>
      </c>
      <c r="D20" s="384"/>
      <c r="E20" s="388" t="str">
        <f t="shared" si="5"/>
        <v/>
      </c>
      <c r="F20" s="387" t="str">
        <f t="shared" si="6"/>
        <v/>
      </c>
      <c r="G20" s="389" t="str">
        <f t="shared" si="7"/>
        <v/>
      </c>
      <c r="H20" s="390" t="str">
        <f t="shared" si="8"/>
        <v/>
      </c>
      <c r="I20" s="387" t="str">
        <f t="shared" si="9"/>
        <v/>
      </c>
      <c r="J20" s="391" t="str">
        <f t="shared" si="10"/>
        <v/>
      </c>
      <c r="K20" s="387" t="str">
        <f t="shared" si="11"/>
        <v/>
      </c>
      <c r="L20" s="389" t="str">
        <f t="shared" si="12"/>
        <v/>
      </c>
      <c r="M20" s="390" t="str">
        <f t="shared" si="13"/>
        <v/>
      </c>
      <c r="N20" s="392" t="str">
        <f t="shared" si="14"/>
        <v/>
      </c>
      <c r="O20" s="393" t="str">
        <f t="shared" si="15"/>
        <v/>
      </c>
    </row>
    <row r="21" spans="1:19" ht="12" customHeight="1" x14ac:dyDescent="0.2">
      <c r="A21" s="323" t="s">
        <v>55</v>
      </c>
      <c r="D21" s="384"/>
      <c r="E21" s="388" t="str">
        <f t="shared" si="5"/>
        <v/>
      </c>
      <c r="F21" s="387" t="str">
        <f t="shared" si="6"/>
        <v/>
      </c>
      <c r="G21" s="389" t="str">
        <f t="shared" si="7"/>
        <v/>
      </c>
      <c r="H21" s="390" t="str">
        <f t="shared" si="8"/>
        <v/>
      </c>
      <c r="I21" s="387" t="str">
        <f t="shared" si="9"/>
        <v/>
      </c>
      <c r="J21" s="391" t="str">
        <f t="shared" si="10"/>
        <v/>
      </c>
      <c r="K21" s="387" t="str">
        <f t="shared" si="11"/>
        <v/>
      </c>
      <c r="L21" s="389" t="str">
        <f t="shared" si="12"/>
        <v/>
      </c>
      <c r="M21" s="390" t="str">
        <f t="shared" si="13"/>
        <v/>
      </c>
      <c r="N21" s="392" t="str">
        <f t="shared" si="14"/>
        <v/>
      </c>
      <c r="O21" s="393" t="str">
        <f t="shared" si="15"/>
        <v/>
      </c>
    </row>
    <row r="22" spans="1:19" ht="12" customHeight="1" x14ac:dyDescent="0.2">
      <c r="D22" s="384"/>
      <c r="E22" s="388" t="str">
        <f t="shared" si="5"/>
        <v/>
      </c>
      <c r="F22" s="387" t="str">
        <f t="shared" si="6"/>
        <v/>
      </c>
      <c r="G22" s="389" t="str">
        <f t="shared" si="7"/>
        <v/>
      </c>
      <c r="H22" s="390" t="str">
        <f t="shared" si="8"/>
        <v/>
      </c>
      <c r="I22" s="387" t="str">
        <f t="shared" si="9"/>
        <v/>
      </c>
      <c r="J22" s="391" t="str">
        <f t="shared" si="10"/>
        <v/>
      </c>
      <c r="K22" s="387" t="str">
        <f t="shared" si="11"/>
        <v/>
      </c>
      <c r="L22" s="389" t="str">
        <f t="shared" si="12"/>
        <v/>
      </c>
      <c r="M22" s="390" t="str">
        <f t="shared" si="13"/>
        <v/>
      </c>
      <c r="N22" s="392" t="str">
        <f t="shared" si="14"/>
        <v/>
      </c>
      <c r="O22" s="393" t="str">
        <f t="shared" si="15"/>
        <v/>
      </c>
    </row>
    <row r="23" spans="1:19" ht="12" customHeight="1" x14ac:dyDescent="0.2">
      <c r="A23" s="394" t="s">
        <v>58</v>
      </c>
      <c r="B23" s="395" t="s">
        <v>15</v>
      </c>
      <c r="D23" s="384"/>
      <c r="E23" s="388" t="str">
        <f t="shared" si="5"/>
        <v/>
      </c>
      <c r="F23" s="387" t="str">
        <f t="shared" si="6"/>
        <v/>
      </c>
      <c r="G23" s="389" t="str">
        <f t="shared" si="7"/>
        <v/>
      </c>
      <c r="H23" s="390" t="str">
        <f t="shared" si="8"/>
        <v/>
      </c>
      <c r="I23" s="387" t="str">
        <f t="shared" si="9"/>
        <v/>
      </c>
      <c r="J23" s="391" t="str">
        <f t="shared" si="10"/>
        <v/>
      </c>
      <c r="K23" s="387" t="str">
        <f t="shared" si="11"/>
        <v/>
      </c>
      <c r="L23" s="389" t="str">
        <f t="shared" si="12"/>
        <v/>
      </c>
      <c r="M23" s="390" t="str">
        <f t="shared" si="13"/>
        <v/>
      </c>
      <c r="N23" s="392" t="str">
        <f t="shared" si="14"/>
        <v/>
      </c>
      <c r="O23" s="393" t="str">
        <f t="shared" si="15"/>
        <v/>
      </c>
    </row>
    <row r="24" spans="1:19" ht="12" customHeight="1" thickBot="1" x14ac:dyDescent="0.25">
      <c r="A24" s="396">
        <v>2003</v>
      </c>
      <c r="B24" s="397">
        <v>332000</v>
      </c>
      <c r="D24" s="398"/>
      <c r="E24" s="399" t="str">
        <f t="shared" si="5"/>
        <v/>
      </c>
      <c r="F24" s="400" t="str">
        <f t="shared" si="6"/>
        <v/>
      </c>
      <c r="G24" s="401" t="str">
        <f t="shared" si="7"/>
        <v/>
      </c>
      <c r="H24" s="402" t="str">
        <f t="shared" si="8"/>
        <v/>
      </c>
      <c r="I24" s="400" t="str">
        <f t="shared" si="9"/>
        <v/>
      </c>
      <c r="J24" s="403" t="str">
        <f t="shared" si="10"/>
        <v/>
      </c>
      <c r="K24" s="400" t="str">
        <f t="shared" si="11"/>
        <v/>
      </c>
      <c r="L24" s="401" t="str">
        <f t="shared" si="12"/>
        <v/>
      </c>
      <c r="M24" s="402" t="str">
        <f t="shared" si="13"/>
        <v/>
      </c>
      <c r="N24" s="404" t="str">
        <f t="shared" si="14"/>
        <v/>
      </c>
      <c r="O24" s="405" t="str">
        <f t="shared" si="15"/>
        <v/>
      </c>
    </row>
    <row r="25" spans="1:19" ht="12" customHeight="1" thickBot="1" x14ac:dyDescent="0.25">
      <c r="A25" s="396">
        <v>2004</v>
      </c>
      <c r="B25" s="397">
        <v>358000</v>
      </c>
      <c r="D25" s="331" t="s">
        <v>59</v>
      </c>
      <c r="E25" s="331"/>
      <c r="F25" s="379"/>
      <c r="G25" s="379"/>
      <c r="H25" s="406"/>
      <c r="I25" s="406"/>
      <c r="J25" s="331"/>
      <c r="L25" s="407" t="s">
        <v>60</v>
      </c>
      <c r="M25" s="408"/>
      <c r="N25" s="408"/>
      <c r="O25" s="409">
        <f>IF(O15="","",IF(F11="",SUM(O15:O24),IF(F11&lt;SUM(O15:O24),F11,SUM(O15:O24))))</f>
        <v>1960981</v>
      </c>
    </row>
    <row r="26" spans="1:19" ht="12" customHeight="1" x14ac:dyDescent="0.2">
      <c r="A26" s="396">
        <v>2005</v>
      </c>
      <c r="B26" s="397">
        <v>381500</v>
      </c>
      <c r="D26" s="410" t="s">
        <v>92</v>
      </c>
      <c r="E26" s="411"/>
      <c r="F26" s="412"/>
      <c r="L26" s="413" t="s">
        <v>62</v>
      </c>
      <c r="M26" s="414"/>
      <c r="N26" s="414"/>
      <c r="O26" s="415">
        <f>IF(O25="","",IF(AND($L$8&gt;$M$8,$L$8&gt;$N$8,$L$8&gt;$O$8),$L$8,IF(AND($M$8&gt;$L$8,$M$8&gt;$N$8,$M$8&gt;$O$8),$M$8,IF(AND($N$8&gt;$L$8,$N$8&gt;$M$8,$N$8&gt;$O$8),$N$8,$O$8))))</f>
        <v>1316704.5</v>
      </c>
    </row>
    <row r="27" spans="1:19" ht="12" customHeight="1" thickBot="1" x14ac:dyDescent="0.25">
      <c r="A27" s="396">
        <v>2006</v>
      </c>
      <c r="B27" s="397">
        <v>408000</v>
      </c>
      <c r="D27" s="416" t="s">
        <v>102</v>
      </c>
      <c r="E27" s="417"/>
      <c r="F27" s="418"/>
      <c r="I27" s="419"/>
      <c r="L27" s="420" t="s">
        <v>63</v>
      </c>
      <c r="M27" s="421"/>
      <c r="N27" s="421"/>
      <c r="O27" s="422">
        <f>IF(O25="","",IF(O25-O26&gt;0,O25-O26,0))</f>
        <v>644276.5</v>
      </c>
    </row>
    <row r="28" spans="1:19" ht="12" customHeight="1" thickBot="1" x14ac:dyDescent="0.25">
      <c r="A28" s="396">
        <v>2007</v>
      </c>
      <c r="B28" s="397">
        <v>433700</v>
      </c>
      <c r="D28" s="423" t="s">
        <v>64</v>
      </c>
      <c r="E28" s="424"/>
      <c r="F28" s="425"/>
      <c r="G28" s="426"/>
      <c r="H28" s="426"/>
      <c r="I28" s="426"/>
      <c r="J28" s="426"/>
      <c r="K28" s="426"/>
      <c r="L28" s="426"/>
      <c r="M28" s="426"/>
      <c r="N28" s="426"/>
      <c r="O28" s="426"/>
      <c r="P28" s="426"/>
      <c r="Q28" s="426"/>
      <c r="R28" s="426"/>
      <c r="S28" s="426"/>
    </row>
    <row r="29" spans="1:19" ht="12" customHeight="1" thickBot="1" x14ac:dyDescent="0.25">
      <c r="A29" s="396">
        <v>2008</v>
      </c>
      <c r="B29" s="397">
        <v>461500</v>
      </c>
      <c r="E29" s="427"/>
      <c r="F29" s="428"/>
    </row>
    <row r="30" spans="1:19" ht="20.25" customHeight="1" x14ac:dyDescent="0.2">
      <c r="A30" s="396">
        <v>2009</v>
      </c>
      <c r="B30" s="397">
        <v>496900</v>
      </c>
      <c r="D30" s="429" t="s">
        <v>103</v>
      </c>
      <c r="E30" s="430"/>
      <c r="F30" s="430"/>
      <c r="G30" s="430"/>
      <c r="H30" s="430"/>
      <c r="I30" s="430"/>
      <c r="J30" s="430"/>
      <c r="K30" s="430"/>
      <c r="L30" s="430"/>
      <c r="M30" s="430"/>
      <c r="N30" s="430"/>
      <c r="O30" s="431"/>
    </row>
    <row r="31" spans="1:19" ht="59.25" customHeight="1" thickBot="1" x14ac:dyDescent="0.25">
      <c r="A31" s="396">
        <v>2010</v>
      </c>
      <c r="B31" s="397">
        <v>515000</v>
      </c>
      <c r="D31" s="432"/>
      <c r="E31" s="433"/>
      <c r="F31" s="433"/>
      <c r="G31" s="433"/>
      <c r="H31" s="433"/>
      <c r="I31" s="433"/>
      <c r="J31" s="433"/>
      <c r="K31" s="433"/>
      <c r="L31" s="433"/>
      <c r="M31" s="433"/>
      <c r="N31" s="433"/>
      <c r="O31" s="434"/>
    </row>
    <row r="32" spans="1:19" ht="12" customHeight="1" x14ac:dyDescent="0.2">
      <c r="A32" s="396">
        <v>2011</v>
      </c>
      <c r="B32" s="397">
        <v>535600</v>
      </c>
      <c r="E32" s="427"/>
      <c r="F32" s="435"/>
      <c r="G32" s="435"/>
      <c r="H32" s="435"/>
      <c r="I32" s="435"/>
      <c r="J32" s="435"/>
      <c r="K32" s="435"/>
      <c r="L32" s="427"/>
      <c r="M32" s="427"/>
      <c r="N32" s="427"/>
      <c r="O32" s="427"/>
    </row>
    <row r="33" spans="1:15" ht="12" customHeight="1" x14ac:dyDescent="0.2">
      <c r="A33" s="396">
        <v>2012</v>
      </c>
      <c r="B33" s="397">
        <v>566700</v>
      </c>
      <c r="E33" s="427"/>
      <c r="F33" s="435"/>
      <c r="G33" s="435"/>
      <c r="H33" s="435"/>
      <c r="I33" s="435"/>
      <c r="J33" s="435"/>
      <c r="K33" s="435"/>
      <c r="L33" s="427"/>
      <c r="M33" s="427"/>
      <c r="N33" s="427"/>
      <c r="O33" s="427"/>
    </row>
    <row r="34" spans="1:15" ht="42.75" customHeight="1" x14ac:dyDescent="0.2">
      <c r="A34" s="323">
        <v>2013</v>
      </c>
      <c r="B34" s="436">
        <v>589500</v>
      </c>
      <c r="D34" s="437" t="s">
        <v>104</v>
      </c>
      <c r="E34" s="438"/>
      <c r="F34" s="438"/>
      <c r="G34" s="438"/>
      <c r="H34" s="438"/>
      <c r="I34" s="438"/>
      <c r="J34" s="438"/>
      <c r="K34" s="438"/>
      <c r="L34" s="438"/>
      <c r="M34" s="438"/>
      <c r="N34" s="438"/>
      <c r="O34" s="439"/>
    </row>
    <row r="35" spans="1:15" ht="42.75" customHeight="1" x14ac:dyDescent="0.2">
      <c r="A35" s="323">
        <v>2014</v>
      </c>
      <c r="B35" s="436">
        <v>616000</v>
      </c>
      <c r="D35" s="440"/>
      <c r="E35" s="441"/>
      <c r="F35" s="441"/>
      <c r="G35" s="441"/>
      <c r="H35" s="441"/>
      <c r="I35" s="441"/>
      <c r="J35" s="441"/>
      <c r="K35" s="441"/>
      <c r="L35" s="441"/>
      <c r="M35" s="441"/>
      <c r="N35" s="441"/>
      <c r="O35" s="442"/>
    </row>
    <row r="36" spans="1:15" ht="21.75" customHeight="1" x14ac:dyDescent="0.2">
      <c r="A36" s="323">
        <v>2015</v>
      </c>
      <c r="B36" s="436">
        <v>644350</v>
      </c>
      <c r="D36" s="440"/>
      <c r="E36" s="441"/>
      <c r="F36" s="441"/>
      <c r="G36" s="441"/>
      <c r="H36" s="441"/>
      <c r="I36" s="441"/>
      <c r="J36" s="441"/>
      <c r="K36" s="441"/>
      <c r="L36" s="441"/>
      <c r="M36" s="441"/>
      <c r="N36" s="441"/>
      <c r="O36" s="442"/>
    </row>
    <row r="37" spans="1:15" ht="12" customHeight="1" x14ac:dyDescent="0.2">
      <c r="A37" s="323">
        <v>2016</v>
      </c>
      <c r="B37" s="436">
        <v>689455</v>
      </c>
      <c r="D37" s="443"/>
      <c r="E37" s="444"/>
      <c r="F37" s="444"/>
      <c r="G37" s="444"/>
      <c r="H37" s="444"/>
      <c r="I37" s="444"/>
      <c r="J37" s="444"/>
      <c r="K37" s="444"/>
      <c r="L37" s="444"/>
      <c r="M37" s="444"/>
      <c r="N37" s="444"/>
      <c r="O37" s="445"/>
    </row>
    <row r="38" spans="1:15" ht="12" customHeight="1" x14ac:dyDescent="0.2">
      <c r="A38" s="323">
        <v>2017</v>
      </c>
      <c r="B38" s="436">
        <v>737717</v>
      </c>
      <c r="D38" s="446"/>
      <c r="E38" s="446"/>
      <c r="F38" s="446"/>
      <c r="G38" s="446"/>
      <c r="H38" s="446"/>
      <c r="I38" s="446"/>
      <c r="J38" s="446"/>
      <c r="K38" s="446"/>
      <c r="L38" s="446"/>
      <c r="M38" s="446"/>
      <c r="N38" s="446"/>
      <c r="O38" s="446"/>
    </row>
    <row r="39" spans="1:15" ht="12" customHeight="1" x14ac:dyDescent="0.2">
      <c r="A39" s="323">
        <v>2018</v>
      </c>
      <c r="B39" s="436">
        <v>781242</v>
      </c>
      <c r="D39" s="330" t="s">
        <v>105</v>
      </c>
      <c r="E39" s="446"/>
      <c r="F39" s="446"/>
      <c r="G39" s="446"/>
      <c r="H39" s="446"/>
      <c r="I39" s="446"/>
      <c r="J39" s="446"/>
      <c r="K39" s="446"/>
      <c r="L39" s="446"/>
      <c r="M39" s="446"/>
      <c r="N39" s="446"/>
      <c r="O39" s="446"/>
    </row>
    <row r="40" spans="1:15" ht="12" customHeight="1" x14ac:dyDescent="0.2">
      <c r="A40" s="323">
        <v>2019</v>
      </c>
      <c r="B40" s="436">
        <v>828616</v>
      </c>
      <c r="D40" s="323" t="s">
        <v>96</v>
      </c>
      <c r="E40" s="427"/>
      <c r="F40" s="435"/>
      <c r="G40" s="435"/>
      <c r="H40" s="427"/>
      <c r="I40" s="427"/>
      <c r="J40" s="435"/>
      <c r="K40" s="435"/>
      <c r="L40" s="427"/>
      <c r="M40" s="427"/>
      <c r="N40" s="427"/>
      <c r="O40" s="427"/>
    </row>
    <row r="41" spans="1:15" ht="12" customHeight="1" x14ac:dyDescent="0.2">
      <c r="A41" s="323">
        <v>2020</v>
      </c>
      <c r="B41" s="436">
        <v>877803</v>
      </c>
      <c r="D41" s="323" t="s">
        <v>96</v>
      </c>
      <c r="E41" s="427"/>
      <c r="F41" s="435"/>
      <c r="G41" s="435"/>
      <c r="H41" s="427"/>
      <c r="I41" s="427"/>
      <c r="J41" s="435"/>
      <c r="K41" s="435"/>
      <c r="L41" s="427"/>
      <c r="M41" s="427"/>
      <c r="N41" s="427"/>
      <c r="O41" s="427"/>
    </row>
    <row r="42" spans="1:15" ht="12" customHeight="1" x14ac:dyDescent="0.2">
      <c r="E42" s="447"/>
      <c r="F42" s="448"/>
      <c r="G42" s="435"/>
      <c r="H42" s="427"/>
      <c r="I42" s="427"/>
      <c r="J42" s="435"/>
      <c r="K42" s="435"/>
      <c r="L42" s="427"/>
      <c r="M42" s="427"/>
      <c r="N42" s="427"/>
      <c r="O42" s="427"/>
    </row>
    <row r="43" spans="1:15" ht="12" customHeight="1" x14ac:dyDescent="0.2">
      <c r="E43" s="447"/>
      <c r="F43" s="448"/>
      <c r="G43" s="435"/>
      <c r="H43" s="427"/>
      <c r="I43" s="427"/>
      <c r="J43" s="435"/>
      <c r="K43" s="435"/>
      <c r="L43" s="427"/>
      <c r="M43" s="427"/>
      <c r="N43" s="427"/>
      <c r="O43" s="427"/>
    </row>
    <row r="44" spans="1:15" ht="12" customHeight="1" x14ac:dyDescent="0.2">
      <c r="E44" s="447"/>
      <c r="F44" s="448"/>
      <c r="G44" s="448"/>
      <c r="H44" s="427"/>
      <c r="I44" s="427"/>
      <c r="J44" s="448"/>
      <c r="K44" s="448"/>
      <c r="L44" s="447"/>
      <c r="M44" s="447"/>
      <c r="N44" s="447"/>
    </row>
    <row r="45" spans="1:15" ht="12" customHeight="1" x14ac:dyDescent="0.2">
      <c r="E45" s="447"/>
      <c r="F45" s="448"/>
      <c r="G45" s="448"/>
      <c r="H45" s="427"/>
      <c r="I45" s="427"/>
      <c r="J45" s="448"/>
      <c r="K45" s="448"/>
      <c r="L45" s="447"/>
      <c r="M45" s="447"/>
      <c r="N45" s="447"/>
    </row>
    <row r="46" spans="1:15" ht="12" customHeight="1" x14ac:dyDescent="0.2">
      <c r="F46" s="449"/>
      <c r="G46" s="448"/>
      <c r="H46" s="427"/>
      <c r="I46" s="427"/>
      <c r="J46" s="448"/>
      <c r="K46" s="448"/>
      <c r="L46" s="447"/>
      <c r="M46" s="447"/>
      <c r="N46" s="447"/>
    </row>
    <row r="47" spans="1:15" ht="12" customHeight="1" x14ac:dyDescent="0.2">
      <c r="F47" s="449"/>
      <c r="G47" s="448"/>
      <c r="H47" s="427"/>
      <c r="I47" s="427"/>
      <c r="J47" s="448"/>
      <c r="K47" s="448"/>
      <c r="L47" s="447"/>
      <c r="M47" s="447"/>
      <c r="N47" s="447"/>
    </row>
    <row r="48" spans="1:15" ht="12" customHeight="1" x14ac:dyDescent="0.2">
      <c r="F48" s="449"/>
      <c r="G48" s="449"/>
      <c r="H48" s="427"/>
      <c r="I48" s="449"/>
      <c r="J48" s="449"/>
      <c r="K48" s="449"/>
    </row>
    <row r="49" spans="6:11" ht="12" customHeight="1" x14ac:dyDescent="0.2">
      <c r="F49" s="449"/>
      <c r="G49" s="449"/>
      <c r="H49" s="427"/>
      <c r="I49" s="449"/>
      <c r="J49" s="449"/>
      <c r="K49" s="449"/>
    </row>
    <row r="50" spans="6:11" ht="12" customHeight="1" x14ac:dyDescent="0.2">
      <c r="G50" s="449"/>
      <c r="H50" s="449"/>
      <c r="I50" s="449"/>
      <c r="J50" s="449"/>
      <c r="K50" s="449"/>
    </row>
    <row r="51" spans="6:11" ht="12" customHeight="1" x14ac:dyDescent="0.2">
      <c r="G51" s="449"/>
      <c r="H51" s="449"/>
      <c r="I51" s="449"/>
      <c r="J51" s="449"/>
      <c r="K51" s="449"/>
    </row>
  </sheetData>
  <mergeCells count="29">
    <mergeCell ref="D28:F28"/>
    <mergeCell ref="D30:O31"/>
    <mergeCell ref="D34:O37"/>
    <mergeCell ref="D13:O13"/>
    <mergeCell ref="L25:N25"/>
    <mergeCell ref="D26:F26"/>
    <mergeCell ref="L26:N26"/>
    <mergeCell ref="D27:F27"/>
    <mergeCell ref="L27:N27"/>
    <mergeCell ref="D9:E9"/>
    <mergeCell ref="G9:J9"/>
    <mergeCell ref="K9:L9"/>
    <mergeCell ref="M9:O9"/>
    <mergeCell ref="D11:E11"/>
    <mergeCell ref="L11:M11"/>
    <mergeCell ref="D6:E6"/>
    <mergeCell ref="G6:J6"/>
    <mergeCell ref="K6:K8"/>
    <mergeCell ref="D7:E7"/>
    <mergeCell ref="G7:J7"/>
    <mergeCell ref="D8:E8"/>
    <mergeCell ref="G8:J8"/>
    <mergeCell ref="F2:O2"/>
    <mergeCell ref="D4:E4"/>
    <mergeCell ref="G4:J4"/>
    <mergeCell ref="K4:O4"/>
    <mergeCell ref="D5:E5"/>
    <mergeCell ref="G5:J5"/>
    <mergeCell ref="K5:O5"/>
  </mergeCells>
  <dataValidations count="2">
    <dataValidation type="list" allowBlank="1" showInputMessage="1" showErrorMessage="1" sqref="G29:O29 D27:F27" xr:uid="{F1C30EBF-A7C8-49DB-A627-EDD4DF5113AF}">
      <formula1>$A$17:$A$21</formula1>
    </dataValidation>
    <dataValidation type="list" allowBlank="1" showInputMessage="1" showErrorMessage="1" sqref="G7" xr:uid="{BB0E6AF5-C60F-4E72-9020-2046E0D4937B}">
      <formula1>$A$4:$A$14</formula1>
    </dataValidation>
  </dataValidations>
  <printOptions horizontalCentered="1" verticalCentered="1"/>
  <pageMargins left="0.25" right="0.25" top="0.75" bottom="0.75" header="0.3" footer="0.3"/>
  <pageSetup paperSize="9" scale="77" orientation="landscape" r:id="rId1"/>
  <headerFooter alignWithMargins="0">
    <oddFooter>&amp;L_x000D_&amp;1#&amp;"Calibri"&amp;10&amp;K000000 INTERNAL USE ONLY</oddFooter>
  </headerFooter>
  <drawing r:id="rId2"/>
  <legacyDrawing r:id="rId3"/>
  <tableParts count="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Liquidador</vt:lpstr>
      <vt:lpstr>Liquidador Deudores</vt:lpstr>
      <vt:lpstr>Liquidador leasing</vt:lpstr>
      <vt:lpstr>Liquidador!Área_de_impresión</vt:lpstr>
      <vt:lpstr>'Liquidador Deudores'!Área_de_impresión</vt:lpstr>
      <vt:lpstr>'Liquidador leasing'!Área_de_impresión</vt:lpstr>
    </vt:vector>
  </TitlesOfParts>
  <Company>Zurich Insurance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Rodriguez Lopez</dc:creator>
  <cp:lastModifiedBy>Angel Rodriguez Lopez</cp:lastModifiedBy>
  <dcterms:created xsi:type="dcterms:W3CDTF">2026-08-21T15:02:13Z</dcterms:created>
  <dcterms:modified xsi:type="dcterms:W3CDTF">2026-08-21T15:07:32Z</dcterms:modified>
</cp:coreProperties>
</file>